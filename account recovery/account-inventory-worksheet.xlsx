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sheetId="1" state="visible" r:id="rId3"/>
    <sheet name="Accounts" sheetId="2" state="visible" r:id="rId4"/>
    <sheet name="Summary" sheetId="3" state="visible" r:id="rId5"/>
    <sheet name="Memory Jogger" sheetId="4" state="visible" r:id="rId6"/>
  </sheets>
  <definedNames>
    <definedName function="false" hidden="false" localSheetId="1" name="_xlnm.Print_Titles" vbProcedure="false">Accounts!$4:$4</definedName>
    <definedName function="false" hidden="true" localSheetId="1" name="_xlnm._FilterDatabase" vbProcedure="false">Accounts!$A$4:$O$105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<sst xmlns="http://schemas.openxmlformats.org/spreadsheetml/2006/main" count="109" uniqueCount="105">
  <si>
    <t xml:space="preserve">Account Inventory Worksheet</t>
  </si>
  <si>
    <t xml:space="preserve">List every online account you can think of. The goal is a complete map, so don't worry about being tidy.</t>
  </si>
  <si>
    <t xml:space="preserve">How to use it</t>
  </si>
  <si>
    <t xml:space="preserve">1. Go to the Accounts tab. Cells with a pale yellow fill are for you to type in. The grey italic row is an example only.</t>
  </si>
  <si>
    <t xml:space="preserve">2. Use the Memory Jogger tab to prompt yourself. Check old email inboxes for 'Welcome', 'Verify your email' and 'Receipt' messages.</t>
  </si>
  <si>
    <t xml:space="preserve">3. Use the drop-down lists where they appear. Leave anything you don't know blank or choose 'Unknown'.</t>
  </si>
  <si>
    <t xml:space="preserve">4. The Summary tab updates by itself. It shows how many accounts you have, which have no second factor, and what you want done.</t>
  </si>
  <si>
    <t xml:space="preserve">About passwords (please read)</t>
  </si>
  <si>
    <t xml:space="preserve">This worksheet deliberately has no password column. A file that lists every account, username and password is the single most valuable thing a thief or hacker could find.</t>
  </si>
  <si>
    <t xml:space="preserve">Instead, record WHERE each password is kept (password manager, memorised, paper, browser). Keep the actual passwords in your password manager.</t>
  </si>
  <si>
    <t xml:space="preserve">If you decide to write passwords down anyway, do it by hand on a printed copy, keep it sealed in a safe place, and never type it into a file that is synced to a cloud or emailed.</t>
  </si>
  <si>
    <t xml:space="preserve">Keep this file safe</t>
  </si>
  <si>
    <t xml:space="preserve">Even without passwords, this lists your usernames, email addresses and where you're weak (for example, no second factor). Store it in an encrypted folder or your password manager's secure notes, and don't email it unprotected.</t>
  </si>
  <si>
    <t xml:space="preserve">Column guide</t>
  </si>
  <si>
    <t xml:space="preserve">Status: Active = you log in fine. Dormant = still exists, you rarely use it. Locked / can't access = you can't get in. Unknown = you're not sure it still exists.</t>
  </si>
  <si>
    <t xml:space="preserve">Action wanted: Keep = leave as is. Review = decide later. Close = delete or deactivate it. Recover = get back in. Back up = save the contents first. Find = track down an old or forgotten account.</t>
  </si>
  <si>
    <t xml:space="preserve">Has data worth saving: photos, messages, documents or purchases you couldn't replace. Anything marked Yes should be backed up BEFORE you close the account.</t>
  </si>
  <si>
    <t xml:space="preserve">Account Inventory</t>
  </si>
  <si>
    <t xml:space="preserve">Type in the yellow cells. Grey italic row 5 is an example only (it is not counted). Do not type passwords here.</t>
  </si>
  <si>
    <t xml:space="preserve">#</t>
  </si>
  <si>
    <t xml:space="preserve">Account / service</t>
  </si>
  <si>
    <t xml:space="preserve">Category</t>
  </si>
  <si>
    <t xml:space="preserve">Username / login</t>
  </si>
  <si>
    <t xml:space="preserve">Email used</t>
  </si>
  <si>
    <t xml:space="preserve">Phone # on account?</t>
  </si>
  <si>
    <t xml:space="preserve">Password kept in</t>
  </si>
  <si>
    <t xml:space="preserve">Second factor (2FA)</t>
  </si>
  <si>
    <t xml:space="preserve">Recovery email / phone set?</t>
  </si>
  <si>
    <t xml:space="preserve">How often used</t>
  </si>
  <si>
    <t xml:space="preserve">Status</t>
  </si>
  <si>
    <t xml:space="preserve">Action wanted</t>
  </si>
  <si>
    <t xml:space="preserve">Has data worth saving?</t>
  </si>
  <si>
    <t xml:space="preserve">Notes</t>
  </si>
  <si>
    <t xml:space="preserve">Date reviewed</t>
  </si>
  <si>
    <t xml:space="preserve">EX</t>
  </si>
  <si>
    <t xml:space="preserve">Example: Netflix</t>
  </si>
  <si>
    <t xml:space="preserve">Entertainment</t>
  </si>
  <si>
    <t xml:space="preserve">jsmith</t>
  </si>
  <si>
    <t xml:space="preserve">jsmith@example.com</t>
  </si>
  <si>
    <t xml:space="preserve">No</t>
  </si>
  <si>
    <t xml:space="preserve">Password manager</t>
  </si>
  <si>
    <t xml:space="preserve">None</t>
  </si>
  <si>
    <t xml:space="preserve">Yes</t>
  </si>
  <si>
    <t xml:space="preserve">Weekly</t>
  </si>
  <si>
    <t xml:space="preserve">Active</t>
  </si>
  <si>
    <t xml:space="preserve">Keep</t>
  </si>
  <si>
    <t xml:space="preserve">Shared family plan</t>
  </si>
  <si>
    <t xml:space="preserve">2026-10-14</t>
  </si>
  <si>
    <t xml:space="preserve">Summary</t>
  </si>
  <si>
    <t xml:space="preserve">Updates automatically from the Accounts tab.</t>
  </si>
  <si>
    <t xml:space="preserve">Overview</t>
  </si>
  <si>
    <t xml:space="preserve">Accounts listed</t>
  </si>
  <si>
    <t xml:space="preserve">No second factor (2FA)</t>
  </si>
  <si>
    <t xml:space="preserve">Add 2FA, starting with email and banking.</t>
  </si>
  <si>
    <t xml:space="preserve">Second factor: unsure</t>
  </si>
  <si>
    <t xml:space="preserve">Password NOT in a password manager</t>
  </si>
  <si>
    <t xml:space="preserve">Move these into the password manager.</t>
  </si>
  <si>
    <t xml:space="preserve">No recovery email or phone set</t>
  </si>
  <si>
    <t xml:space="preserve">Without recovery options, a lockout is much harder to fix.</t>
  </si>
  <si>
    <t xml:space="preserve">By status</t>
  </si>
  <si>
    <t xml:space="preserve">Dormant</t>
  </si>
  <si>
    <t xml:space="preserve">Locked / can't access</t>
  </si>
  <si>
    <t xml:space="preserve">Unknown</t>
  </si>
  <si>
    <t xml:space="preserve">By action wanted</t>
  </si>
  <si>
    <t xml:space="preserve">Review</t>
  </si>
  <si>
    <t xml:space="preserve">Close</t>
  </si>
  <si>
    <t xml:space="preserve">Recover</t>
  </si>
  <si>
    <t xml:space="preserve">Back up</t>
  </si>
  <si>
    <t xml:space="preserve">Find</t>
  </si>
  <si>
    <t xml:space="preserve">Priority checks</t>
  </si>
  <si>
    <t xml:space="preserve">Close, but has data worth saving</t>
  </si>
  <si>
    <t xml:space="preserve">Back these up BEFORE closing.</t>
  </si>
  <si>
    <t xml:space="preserve">Locked and not yet marked Recover</t>
  </si>
  <si>
    <t xml:space="preserve">Decide whether to recover or close.</t>
  </si>
  <si>
    <t xml:space="preserve">Unknown status</t>
  </si>
  <si>
    <t xml:space="preserve">Candidates for the 'Find' list.</t>
  </si>
  <si>
    <t xml:space="preserve">Memory Jogger</t>
  </si>
  <si>
    <t xml:space="preserve">Prompts to help you remember accounts. Add each one to the Accounts tab.</t>
  </si>
  <si>
    <t xml:space="preserve">Email</t>
  </si>
  <si>
    <t xml:space="preserve">Every email address you've ever had: current, old, school, work, ISP, Hotmail/Yahoo/AOL, Gmail, iCloud.</t>
  </si>
  <si>
    <t xml:space="preserve">Banking &amp; money</t>
  </si>
  <si>
    <t xml:space="preserve">Banks, credit unions, credit cards, loans, mortgage, PayPal, Venmo, Cash App, Zelle, crypto exchanges, brokerage, retirement, HSA, tax software.</t>
  </si>
  <si>
    <t xml:space="preserve">Shopping</t>
  </si>
  <si>
    <t xml:space="preserve">Amazon, eBay, Etsy, Walmart, Target, Best Buy, local stores, loyalty and rewards programs, food delivery, grocery, pharmacy.</t>
  </si>
  <si>
    <t xml:space="preserve">Social media</t>
  </si>
  <si>
    <t xml:space="preserve">Facebook, Instagram, X, TikTok, Snapchat, Pinterest, Reddit, LinkedIn, YouTube, Tumblr, MySpace, Flickr, old forums.</t>
  </si>
  <si>
    <t xml:space="preserve">Messaging</t>
  </si>
  <si>
    <t xml:space="preserve">WhatsApp, Telegram, Signal, Discord, Slack, Messenger, Skype, Zoom.</t>
  </si>
  <si>
    <t xml:space="preserve">Cloud &amp; files</t>
  </si>
  <si>
    <t xml:space="preserve">Google Drive, iCloud, Dropbox, OneDrive, Mega, Box, Evernote, Notion, Adobe.</t>
  </si>
  <si>
    <t xml:space="preserve">Photos</t>
  </si>
  <si>
    <t xml:space="preserve">Google Photos, Amazon Photos, Shutterfly, Flickr, Snapfish, photo-printing sites, old phone cloud accounts.</t>
  </si>
  <si>
    <t xml:space="preserve">Work / school</t>
  </si>
  <si>
    <t xml:space="preserve">Employer portals, school and university accounts, alumni systems, online courses, professional associations.</t>
  </si>
  <si>
    <t xml:space="preserve">Health</t>
  </si>
  <si>
    <t xml:space="preserve">Doctors' portals, hospital MyChart, pharmacy, insurance, dental, fitness trackers, Apple Health, Fitbit, Garmin, Strava.</t>
  </si>
  <si>
    <t xml:space="preserve">Government / utilities</t>
  </si>
  <si>
    <t xml:space="preserve">IRS, Social Security, DMV, state tax, voting, library, electric, gas, water, internet, phone carrier, trash.</t>
  </si>
  <si>
    <t xml:space="preserve">Travel</t>
  </si>
  <si>
    <t xml:space="preserve">Airlines, hotels, rental cars, Airbnb, Uber, Lyft, booking sites, frequent-flyer programs, travel apps.</t>
  </si>
  <si>
    <t xml:space="preserve">Netflix, Disney+, Hulu, Spotify, Apple Music, Audible, Kindle, Steam, PlayStation, Xbox, Nintendo.</t>
  </si>
  <si>
    <t xml:space="preserve">Devices &amp; apps</t>
  </si>
  <si>
    <t xml:space="preserve">Apple ID, Google account, Microsoft account, Samsung, smart-home apps, router, printer, security cameras, car apps.</t>
  </si>
  <si>
    <t xml:space="preserve">Other</t>
  </si>
  <si>
    <t xml:space="preserve">Dating apps, old websites you built, domain registrars, hosting, newsletters, petition sites, forums, hobby sites.</t>
  </si>
</sst>
</file>

<file path=xl/styles.xml><?xml version="1.0" encoding="utf-8"?>
<styleSheet xmlns="http://schemas.openxmlformats.org/spreadsheetml/2006/main">
  <numFmts count="2">
    <numFmt numFmtId="164" formatCode="General"/>
    <numFmt numFmtId="165" formatCode="General"/>
  </numFmts>
  <fonts count="14">
    <font>
      <sz val="11"/>
      <color theme="1"/>
      <name val="Calibri"/>
      <family val="2"/>
      <charset val="1"/>
    </font>
    <font>
      <sz val="10"/>
      <name val="Arial"/>
      <family val="0"/>
    </font>
    <font>
      <sz val="10"/>
      <name val="Arial"/>
      <family val="0"/>
    </font>
    <font>
      <sz val="10"/>
      <name val="Arial"/>
      <family val="0"/>
    </font>
    <font>
      <b val="true"/>
      <sz val="18"/>
      <color rgb="FF12202F"/>
      <name val="Arial"/>
      <family val="0"/>
      <charset val="1"/>
    </font>
    <font>
      <sz val="10"/>
      <name val="Arial"/>
      <family val="0"/>
      <charset val="1"/>
    </font>
    <font>
      <b val="true"/>
      <sz val="12"/>
      <color rgb="FF0B6B66"/>
      <name val="Arial"/>
      <family val="0"/>
      <charset val="1"/>
    </font>
    <font>
      <b val="true"/>
      <sz val="12"/>
      <color rgb="FF9A3412"/>
      <name val="Arial"/>
      <family val="0"/>
      <charset val="1"/>
    </font>
    <font>
      <b val="true"/>
      <sz val="14"/>
      <color rgb="FF12202F"/>
      <name val="Arial"/>
      <family val="0"/>
      <charset val="1"/>
    </font>
    <font>
      <i val="true"/>
      <sz val="10"/>
      <color rgb="FF6B7785"/>
      <name val="Arial"/>
      <family val="0"/>
      <charset val="1"/>
    </font>
    <font>
      <b val="true"/>
      <sz val="10"/>
      <color rgb="FFFFFFFF"/>
      <name val="Arial"/>
      <family val="0"/>
      <charset val="1"/>
    </font>
    <font>
      <b val="true"/>
      <sz val="16"/>
      <color rgb="FF12202F"/>
      <name val="Arial"/>
      <family val="0"/>
      <charset val="1"/>
    </font>
    <font>
      <b val="true"/>
      <sz val="10"/>
      <name val="Arial"/>
      <family val="0"/>
      <charset val="1"/>
    </font>
    <font>
      <i val="true"/>
      <sz val="9"/>
      <color rgb="FF6B7785"/>
      <name val="Arial"/>
      <family val="0"/>
      <charset val="1"/>
    </font>
  </fonts>
  <fills count="4">
    <fill>
      <patternFill patternType="none"/>
    </fill>
    <fill>
      <patternFill patternType="gray125"/>
    </fill>
    <fill>
      <patternFill patternType="solid">
        <fgColor rgb="FF0B6B66"/>
        <bgColor rgb="FF008080"/>
      </patternFill>
    </fill>
    <fill>
      <patternFill patternType="solid">
        <fgColor rgb="FFFFFBE0"/>
        <bgColor rgb="FFFFFFFF"/>
      </patternFill>
    </fill>
  </fills>
  <borders count="2">
    <border diagonalUp="false" diagonalDown="false">
      <left/>
      <right/>
      <top/>
      <bottom/>
      <diagonal/>
    </border>
    <border diagonalUp="false" diagonalDown="false">
      <left style="thin">
        <color rgb="FFC9D3DD"/>
      </left>
      <right style="thin">
        <color rgb="FFC9D3DD"/>
      </right>
      <top style="thin">
        <color rgb="FFC9D3DD"/>
      </top>
      <bottom style="thin">
        <color rgb="FFC9D3DD"/>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2" borderId="1" xfId="0" applyFont="true" applyBorder="true" applyAlignment="true" applyProtection="false">
      <alignment horizontal="center" vertical="center"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center" vertical="top" textRotation="0" wrapText="fals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0"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5" fontId="12" fillId="0" borderId="1" xfId="0" applyFont="true" applyBorder="true" applyAlignment="true" applyProtection="false">
      <alignment horizontal="center"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10" fillId="2" borderId="1" xfId="0" applyFont="true" applyBorder="true" applyAlignment="false" applyProtection="false">
      <alignment horizontal="general" vertical="bottom"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4" fontId="12" fillId="0"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0B6B66"/>
          <bgColor rgb="FF000000"/>
        </patternFill>
      </fill>
    </dxf>
    <dxf>
      <fill>
        <patternFill patternType="solid">
          <bgColor rgb="FF000000"/>
        </patternFill>
      </fill>
    </dxf>
    <dxf>
      <fill>
        <patternFill patternType="solid">
          <fgColor rgb="FF6B7785"/>
          <bgColor rgb="FF000000"/>
        </patternFill>
      </fill>
    </dxf>
    <dxf>
      <fill>
        <patternFill patternType="solid">
          <fgColor rgb="FFFFFFFF"/>
          <bgColor rgb="FF000000"/>
        </patternFill>
      </fill>
    </dxf>
    <dxf>
      <fill>
        <patternFill patternType="solid">
          <fgColor rgb="FFFFFBE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B6B66"/>
      <rgbColor rgb="FFC0C0C0"/>
      <rgbColor rgb="FF6B7785"/>
      <rgbColor rgb="FF9999FF"/>
      <rgbColor rgb="FF993366"/>
      <rgbColor rgb="FFFFFBE0"/>
      <rgbColor rgb="FFCCFFFF"/>
      <rgbColor rgb="FF660066"/>
      <rgbColor rgb="FFFF8080"/>
      <rgbColor rgb="FF0066CC"/>
      <rgbColor rgb="FFC9D3DD"/>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A3412"/>
      <rgbColor rgb="FF993366"/>
      <rgbColor rgb="FF333399"/>
      <rgbColor rgb="FF12202F"/>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B2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10"/>
  </cols>
  <sheetData>
    <row r="1" customFormat="false" ht="30" hidden="false" customHeight="true" outlineLevel="0" collapsed="false">
      <c r="B1" s="1" t="s">
        <v>0</v>
      </c>
    </row>
    <row r="2" customFormat="false" ht="30" hidden="false" customHeight="true" outlineLevel="0" collapsed="false">
      <c r="B2" s="2" t="s">
        <v>1</v>
      </c>
    </row>
    <row r="3" customFormat="false" ht="15" hidden="false" customHeight="false" outlineLevel="0" collapsed="false">
      <c r="B3" s="2"/>
    </row>
    <row r="4" customFormat="false" ht="15" hidden="false" customHeight="false" outlineLevel="0" collapsed="false">
      <c r="B4" s="3" t="s">
        <v>2</v>
      </c>
    </row>
    <row r="5" customFormat="false" ht="30" hidden="false" customHeight="true" outlineLevel="0" collapsed="false">
      <c r="B5" s="2" t="s">
        <v>3</v>
      </c>
    </row>
    <row r="6" customFormat="false" ht="30" hidden="false" customHeight="true" outlineLevel="0" collapsed="false">
      <c r="B6" s="2" t="s">
        <v>4</v>
      </c>
    </row>
    <row r="7" customFormat="false" ht="30" hidden="false" customHeight="true" outlineLevel="0" collapsed="false">
      <c r="B7" s="2" t="s">
        <v>5</v>
      </c>
    </row>
    <row r="8" customFormat="false" ht="30" hidden="false" customHeight="true" outlineLevel="0" collapsed="false">
      <c r="B8" s="2" t="s">
        <v>6</v>
      </c>
    </row>
    <row r="9" customFormat="false" ht="15" hidden="false" customHeight="false" outlineLevel="0" collapsed="false">
      <c r="B9" s="2"/>
    </row>
    <row r="10" customFormat="false" ht="15" hidden="false" customHeight="false" outlineLevel="0" collapsed="false">
      <c r="B10" s="4" t="s">
        <v>7</v>
      </c>
    </row>
    <row r="11" customFormat="false" ht="30" hidden="false" customHeight="true" outlineLevel="0" collapsed="false">
      <c r="B11" s="2" t="s">
        <v>8</v>
      </c>
    </row>
    <row r="12" customFormat="false" ht="30" hidden="false" customHeight="true" outlineLevel="0" collapsed="false">
      <c r="B12" s="2" t="s">
        <v>9</v>
      </c>
    </row>
    <row r="13" customFormat="false" ht="30" hidden="false" customHeight="true" outlineLevel="0" collapsed="false">
      <c r="B13" s="2" t="s">
        <v>10</v>
      </c>
    </row>
    <row r="14" customFormat="false" ht="15" hidden="false" customHeight="false" outlineLevel="0" collapsed="false">
      <c r="B14" s="2"/>
    </row>
    <row r="15" customFormat="false" ht="15" hidden="false" customHeight="false" outlineLevel="0" collapsed="false">
      <c r="B15" s="3" t="s">
        <v>11</v>
      </c>
    </row>
    <row r="16" customFormat="false" ht="30" hidden="false" customHeight="true" outlineLevel="0" collapsed="false">
      <c r="B16" s="2" t="s">
        <v>12</v>
      </c>
    </row>
    <row r="17" customFormat="false" ht="15" hidden="false" customHeight="false" outlineLevel="0" collapsed="false">
      <c r="B17" s="2"/>
    </row>
    <row r="18" customFormat="false" ht="15" hidden="false" customHeight="false" outlineLevel="0" collapsed="false">
      <c r="B18" s="3" t="s">
        <v>13</v>
      </c>
    </row>
    <row r="19" customFormat="false" ht="30" hidden="false" customHeight="true" outlineLevel="0" collapsed="false">
      <c r="B19" s="2" t="s">
        <v>14</v>
      </c>
    </row>
    <row r="20" customFormat="false" ht="30" hidden="false" customHeight="true" outlineLevel="0" collapsed="false">
      <c r="B20" s="2" t="s">
        <v>15</v>
      </c>
    </row>
    <row r="21" customFormat="false" ht="30" hidden="false" customHeight="true" outlineLevel="0" collapsed="false">
      <c r="B21" s="2" t="s">
        <v>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O10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4"/>
    <col collapsed="false" customWidth="true" hidden="false" outlineLevel="0" max="3" min="3" style="0" width="16"/>
    <col collapsed="false" customWidth="true" hidden="false" outlineLevel="0" max="4" min="4" style="0" width="22"/>
    <col collapsed="false" customWidth="true" hidden="false" outlineLevel="0" max="5" min="5" style="0" width="26"/>
    <col collapsed="false" customWidth="true" hidden="false" outlineLevel="0" max="6" min="6" style="0" width="12"/>
    <col collapsed="false" customWidth="true" hidden="false" outlineLevel="0" max="8" min="7" style="0" width="18"/>
    <col collapsed="false" customWidth="true" hidden="false" outlineLevel="0" max="9" min="9" style="0" width="14"/>
    <col collapsed="false" customWidth="true" hidden="false" outlineLevel="0" max="10" min="10" style="0" width="13"/>
    <col collapsed="false" customWidth="true" hidden="false" outlineLevel="0" max="11" min="11" style="0" width="16"/>
    <col collapsed="false" customWidth="true" hidden="false" outlineLevel="0" max="13" min="12" style="0" width="13"/>
    <col collapsed="false" customWidth="true" hidden="false" outlineLevel="0" max="14" min="14" style="0" width="34"/>
    <col collapsed="false" customWidth="true" hidden="false" outlineLevel="0" max="15" min="15" style="0" width="13"/>
  </cols>
  <sheetData>
    <row r="1" customFormat="false" ht="17.35" hidden="false" customHeight="false" outlineLevel="0" collapsed="false">
      <c r="A1" s="5" t="s">
        <v>17</v>
      </c>
    </row>
    <row r="2" customFormat="false" ht="15" hidden="false" customHeight="false" outlineLevel="0" collapsed="false">
      <c r="A2" s="6" t="s">
        <v>18</v>
      </c>
    </row>
    <row r="4" customFormat="false" ht="42" hidden="false" customHeight="true" outlineLevel="0" collapsed="false">
      <c r="A4" s="7" t="s">
        <v>19</v>
      </c>
      <c r="B4" s="7" t="s">
        <v>20</v>
      </c>
      <c r="C4" s="7" t="s">
        <v>21</v>
      </c>
      <c r="D4" s="7" t="s">
        <v>22</v>
      </c>
      <c r="E4" s="7" t="s">
        <v>23</v>
      </c>
      <c r="F4" s="7" t="s">
        <v>24</v>
      </c>
      <c r="G4" s="7" t="s">
        <v>25</v>
      </c>
      <c r="H4" s="7" t="s">
        <v>26</v>
      </c>
      <c r="I4" s="7" t="s">
        <v>27</v>
      </c>
      <c r="J4" s="7" t="s">
        <v>28</v>
      </c>
      <c r="K4" s="7" t="s">
        <v>29</v>
      </c>
      <c r="L4" s="7" t="s">
        <v>30</v>
      </c>
      <c r="M4" s="7" t="s">
        <v>31</v>
      </c>
      <c r="N4" s="7" t="s">
        <v>32</v>
      </c>
      <c r="O4" s="7" t="s">
        <v>33</v>
      </c>
    </row>
    <row r="5" customFormat="false" ht="15" hidden="false" customHeight="false" outlineLevel="0" collapsed="false">
      <c r="A5" s="8" t="s">
        <v>34</v>
      </c>
      <c r="B5" s="8" t="s">
        <v>35</v>
      </c>
      <c r="C5" s="8" t="s">
        <v>36</v>
      </c>
      <c r="D5" s="8" t="s">
        <v>37</v>
      </c>
      <c r="E5" s="8" t="s">
        <v>38</v>
      </c>
      <c r="F5" s="8" t="s">
        <v>39</v>
      </c>
      <c r="G5" s="8" t="s">
        <v>40</v>
      </c>
      <c r="H5" s="8" t="s">
        <v>41</v>
      </c>
      <c r="I5" s="8" t="s">
        <v>42</v>
      </c>
      <c r="J5" s="8" t="s">
        <v>43</v>
      </c>
      <c r="K5" s="8" t="s">
        <v>44</v>
      </c>
      <c r="L5" s="8" t="s">
        <v>45</v>
      </c>
      <c r="M5" s="8" t="s">
        <v>39</v>
      </c>
      <c r="N5" s="8" t="s">
        <v>46</v>
      </c>
      <c r="O5" s="8" t="s">
        <v>47</v>
      </c>
    </row>
    <row r="6" customFormat="false" ht="15" hidden="false" customHeight="false" outlineLevel="0" collapsed="false">
      <c r="A6" s="9" t="n">
        <v>1</v>
      </c>
      <c r="B6" s="10"/>
      <c r="C6" s="10"/>
      <c r="D6" s="10"/>
      <c r="E6" s="10"/>
      <c r="F6" s="10"/>
      <c r="G6" s="10"/>
      <c r="H6" s="10"/>
      <c r="I6" s="10"/>
      <c r="J6" s="10"/>
      <c r="K6" s="10"/>
      <c r="L6" s="10"/>
      <c r="M6" s="10"/>
      <c r="N6" s="10"/>
      <c r="O6" s="10"/>
    </row>
    <row r="7" customFormat="false" ht="15" hidden="false" customHeight="false" outlineLevel="0" collapsed="false">
      <c r="A7" s="9" t="n">
        <v>2</v>
      </c>
      <c r="B7" s="10"/>
      <c r="C7" s="10"/>
      <c r="D7" s="10"/>
      <c r="E7" s="10"/>
      <c r="F7" s="10"/>
      <c r="G7" s="10"/>
      <c r="H7" s="10"/>
      <c r="I7" s="10"/>
      <c r="J7" s="10"/>
      <c r="K7" s="10"/>
      <c r="L7" s="10"/>
      <c r="M7" s="10"/>
      <c r="N7" s="10"/>
      <c r="O7" s="10"/>
    </row>
    <row r="8" customFormat="false" ht="15" hidden="false" customHeight="false" outlineLevel="0" collapsed="false">
      <c r="A8" s="9" t="n">
        <v>3</v>
      </c>
      <c r="B8" s="10"/>
      <c r="C8" s="10"/>
      <c r="D8" s="10"/>
      <c r="E8" s="10"/>
      <c r="F8" s="10"/>
      <c r="G8" s="10"/>
      <c r="H8" s="10"/>
      <c r="I8" s="10"/>
      <c r="J8" s="10"/>
      <c r="K8" s="10"/>
      <c r="L8" s="10"/>
      <c r="M8" s="10"/>
      <c r="N8" s="10"/>
      <c r="O8" s="10"/>
    </row>
    <row r="9" customFormat="false" ht="15" hidden="false" customHeight="false" outlineLevel="0" collapsed="false">
      <c r="A9" s="9" t="n">
        <v>4</v>
      </c>
      <c r="B9" s="10"/>
      <c r="C9" s="10"/>
      <c r="D9" s="10"/>
      <c r="E9" s="10"/>
      <c r="F9" s="10"/>
      <c r="G9" s="10"/>
      <c r="H9" s="10"/>
      <c r="I9" s="10"/>
      <c r="J9" s="10"/>
      <c r="K9" s="10"/>
      <c r="L9" s="10"/>
      <c r="M9" s="10"/>
      <c r="N9" s="10"/>
      <c r="O9" s="10"/>
    </row>
    <row r="10" customFormat="false" ht="15" hidden="false" customHeight="false" outlineLevel="0" collapsed="false">
      <c r="A10" s="9" t="n">
        <v>5</v>
      </c>
      <c r="B10" s="10"/>
      <c r="C10" s="10"/>
      <c r="D10" s="10"/>
      <c r="E10" s="10"/>
      <c r="F10" s="10"/>
      <c r="G10" s="10"/>
      <c r="H10" s="10"/>
      <c r="I10" s="10"/>
      <c r="J10" s="10"/>
      <c r="K10" s="10"/>
      <c r="L10" s="10"/>
      <c r="M10" s="10"/>
      <c r="N10" s="10"/>
      <c r="O10" s="10"/>
    </row>
    <row r="11" customFormat="false" ht="15" hidden="false" customHeight="false" outlineLevel="0" collapsed="false">
      <c r="A11" s="9" t="n">
        <v>6</v>
      </c>
      <c r="B11" s="10"/>
      <c r="C11" s="10"/>
      <c r="D11" s="10"/>
      <c r="E11" s="10"/>
      <c r="F11" s="10"/>
      <c r="G11" s="10"/>
      <c r="H11" s="10"/>
      <c r="I11" s="10"/>
      <c r="J11" s="10"/>
      <c r="K11" s="10"/>
      <c r="L11" s="10"/>
      <c r="M11" s="10"/>
      <c r="N11" s="10"/>
      <c r="O11" s="10"/>
    </row>
    <row r="12" customFormat="false" ht="15" hidden="false" customHeight="false" outlineLevel="0" collapsed="false">
      <c r="A12" s="9" t="n">
        <v>7</v>
      </c>
      <c r="B12" s="10"/>
      <c r="C12" s="10"/>
      <c r="D12" s="10"/>
      <c r="E12" s="10"/>
      <c r="F12" s="10"/>
      <c r="G12" s="10"/>
      <c r="H12" s="10"/>
      <c r="I12" s="10"/>
      <c r="J12" s="10"/>
      <c r="K12" s="10"/>
      <c r="L12" s="10"/>
      <c r="M12" s="10"/>
      <c r="N12" s="10"/>
      <c r="O12" s="10"/>
    </row>
    <row r="13" customFormat="false" ht="15" hidden="false" customHeight="false" outlineLevel="0" collapsed="false">
      <c r="A13" s="9" t="n">
        <v>8</v>
      </c>
      <c r="B13" s="10"/>
      <c r="C13" s="10"/>
      <c r="D13" s="10"/>
      <c r="E13" s="10"/>
      <c r="F13" s="10"/>
      <c r="G13" s="10"/>
      <c r="H13" s="10"/>
      <c r="I13" s="10"/>
      <c r="J13" s="10"/>
      <c r="K13" s="10"/>
      <c r="L13" s="10"/>
      <c r="M13" s="10"/>
      <c r="N13" s="10"/>
      <c r="O13" s="10"/>
    </row>
    <row r="14" customFormat="false" ht="15" hidden="false" customHeight="false" outlineLevel="0" collapsed="false">
      <c r="A14" s="9" t="n">
        <v>9</v>
      </c>
      <c r="B14" s="10"/>
      <c r="C14" s="10"/>
      <c r="D14" s="10"/>
      <c r="E14" s="10"/>
      <c r="F14" s="10"/>
      <c r="G14" s="10"/>
      <c r="H14" s="10"/>
      <c r="I14" s="10"/>
      <c r="J14" s="10"/>
      <c r="K14" s="10"/>
      <c r="L14" s="10"/>
      <c r="M14" s="10"/>
      <c r="N14" s="10"/>
      <c r="O14" s="10"/>
    </row>
    <row r="15" customFormat="false" ht="15" hidden="false" customHeight="false" outlineLevel="0" collapsed="false">
      <c r="A15" s="9" t="n">
        <v>10</v>
      </c>
      <c r="B15" s="10"/>
      <c r="C15" s="10"/>
      <c r="D15" s="10"/>
      <c r="E15" s="10"/>
      <c r="F15" s="10"/>
      <c r="G15" s="10"/>
      <c r="H15" s="10"/>
      <c r="I15" s="10"/>
      <c r="J15" s="10"/>
      <c r="K15" s="10"/>
      <c r="L15" s="10"/>
      <c r="M15" s="10"/>
      <c r="N15" s="10"/>
      <c r="O15" s="10"/>
    </row>
    <row r="16" customFormat="false" ht="15" hidden="false" customHeight="false" outlineLevel="0" collapsed="false">
      <c r="A16" s="9" t="n">
        <v>11</v>
      </c>
      <c r="B16" s="10"/>
      <c r="C16" s="10"/>
      <c r="D16" s="10"/>
      <c r="E16" s="10"/>
      <c r="F16" s="10"/>
      <c r="G16" s="10"/>
      <c r="H16" s="10"/>
      <c r="I16" s="10"/>
      <c r="J16" s="10"/>
      <c r="K16" s="10"/>
      <c r="L16" s="10"/>
      <c r="M16" s="10"/>
      <c r="N16" s="10"/>
      <c r="O16" s="10"/>
    </row>
    <row r="17" customFormat="false" ht="15" hidden="false" customHeight="false" outlineLevel="0" collapsed="false">
      <c r="A17" s="9" t="n">
        <v>12</v>
      </c>
      <c r="B17" s="10"/>
      <c r="C17" s="10"/>
      <c r="D17" s="10"/>
      <c r="E17" s="10"/>
      <c r="F17" s="10"/>
      <c r="G17" s="10"/>
      <c r="H17" s="10"/>
      <c r="I17" s="10"/>
      <c r="J17" s="10"/>
      <c r="K17" s="10"/>
      <c r="L17" s="10"/>
      <c r="M17" s="10"/>
      <c r="N17" s="10"/>
      <c r="O17" s="10"/>
    </row>
    <row r="18" customFormat="false" ht="15" hidden="false" customHeight="false" outlineLevel="0" collapsed="false">
      <c r="A18" s="9" t="n">
        <v>13</v>
      </c>
      <c r="B18" s="10"/>
      <c r="C18" s="10"/>
      <c r="D18" s="10"/>
      <c r="E18" s="10"/>
      <c r="F18" s="10"/>
      <c r="G18" s="10"/>
      <c r="H18" s="10"/>
      <c r="I18" s="10"/>
      <c r="J18" s="10"/>
      <c r="K18" s="10"/>
      <c r="L18" s="10"/>
      <c r="M18" s="10"/>
      <c r="N18" s="10"/>
      <c r="O18" s="10"/>
    </row>
    <row r="19" customFormat="false" ht="15" hidden="false" customHeight="false" outlineLevel="0" collapsed="false">
      <c r="A19" s="9" t="n">
        <v>14</v>
      </c>
      <c r="B19" s="10"/>
      <c r="C19" s="10"/>
      <c r="D19" s="10"/>
      <c r="E19" s="10"/>
      <c r="F19" s="10"/>
      <c r="G19" s="10"/>
      <c r="H19" s="10"/>
      <c r="I19" s="10"/>
      <c r="J19" s="10"/>
      <c r="K19" s="10"/>
      <c r="L19" s="10"/>
      <c r="M19" s="10"/>
      <c r="N19" s="10"/>
      <c r="O19" s="10"/>
    </row>
    <row r="20" customFormat="false" ht="15" hidden="false" customHeight="false" outlineLevel="0" collapsed="false">
      <c r="A20" s="9" t="n">
        <v>15</v>
      </c>
      <c r="B20" s="10"/>
      <c r="C20" s="10"/>
      <c r="D20" s="10"/>
      <c r="E20" s="10"/>
      <c r="F20" s="10"/>
      <c r="G20" s="10"/>
      <c r="H20" s="10"/>
      <c r="I20" s="10"/>
      <c r="J20" s="10"/>
      <c r="K20" s="10"/>
      <c r="L20" s="10"/>
      <c r="M20" s="10"/>
      <c r="N20" s="10"/>
      <c r="O20" s="10"/>
    </row>
    <row r="21" customFormat="false" ht="15" hidden="false" customHeight="false" outlineLevel="0" collapsed="false">
      <c r="A21" s="9" t="n">
        <v>16</v>
      </c>
      <c r="B21" s="10"/>
      <c r="C21" s="10"/>
      <c r="D21" s="10"/>
      <c r="E21" s="10"/>
      <c r="F21" s="10"/>
      <c r="G21" s="10"/>
      <c r="H21" s="10"/>
      <c r="I21" s="10"/>
      <c r="J21" s="10"/>
      <c r="K21" s="10"/>
      <c r="L21" s="10"/>
      <c r="M21" s="10"/>
      <c r="N21" s="10"/>
      <c r="O21" s="10"/>
    </row>
    <row r="22" customFormat="false" ht="15" hidden="false" customHeight="false" outlineLevel="0" collapsed="false">
      <c r="A22" s="9" t="n">
        <v>17</v>
      </c>
      <c r="B22" s="10"/>
      <c r="C22" s="10"/>
      <c r="D22" s="10"/>
      <c r="E22" s="10"/>
      <c r="F22" s="10"/>
      <c r="G22" s="10"/>
      <c r="H22" s="10"/>
      <c r="I22" s="10"/>
      <c r="J22" s="10"/>
      <c r="K22" s="10"/>
      <c r="L22" s="10"/>
      <c r="M22" s="10"/>
      <c r="N22" s="10"/>
      <c r="O22" s="10"/>
    </row>
    <row r="23" customFormat="false" ht="15" hidden="false" customHeight="false" outlineLevel="0" collapsed="false">
      <c r="A23" s="9" t="n">
        <v>18</v>
      </c>
      <c r="B23" s="10"/>
      <c r="C23" s="10"/>
      <c r="D23" s="10"/>
      <c r="E23" s="10"/>
      <c r="F23" s="10"/>
      <c r="G23" s="10"/>
      <c r="H23" s="10"/>
      <c r="I23" s="10"/>
      <c r="J23" s="10"/>
      <c r="K23" s="10"/>
      <c r="L23" s="10"/>
      <c r="M23" s="10"/>
      <c r="N23" s="10"/>
      <c r="O23" s="10"/>
    </row>
    <row r="24" customFormat="false" ht="15" hidden="false" customHeight="false" outlineLevel="0" collapsed="false">
      <c r="A24" s="9" t="n">
        <v>19</v>
      </c>
      <c r="B24" s="10"/>
      <c r="C24" s="10"/>
      <c r="D24" s="10"/>
      <c r="E24" s="10"/>
      <c r="F24" s="10"/>
      <c r="G24" s="10"/>
      <c r="H24" s="10"/>
      <c r="I24" s="10"/>
      <c r="J24" s="10"/>
      <c r="K24" s="10"/>
      <c r="L24" s="10"/>
      <c r="M24" s="10"/>
      <c r="N24" s="10"/>
      <c r="O24" s="10"/>
    </row>
    <row r="25" customFormat="false" ht="15" hidden="false" customHeight="false" outlineLevel="0" collapsed="false">
      <c r="A25" s="9" t="n">
        <v>20</v>
      </c>
      <c r="B25" s="10"/>
      <c r="C25" s="10"/>
      <c r="D25" s="10"/>
      <c r="E25" s="10"/>
      <c r="F25" s="10"/>
      <c r="G25" s="10"/>
      <c r="H25" s="10"/>
      <c r="I25" s="10"/>
      <c r="J25" s="10"/>
      <c r="K25" s="10"/>
      <c r="L25" s="10"/>
      <c r="M25" s="10"/>
      <c r="N25" s="10"/>
      <c r="O25" s="10"/>
    </row>
    <row r="26" customFormat="false" ht="15" hidden="false" customHeight="false" outlineLevel="0" collapsed="false">
      <c r="A26" s="9" t="n">
        <v>21</v>
      </c>
      <c r="B26" s="10"/>
      <c r="C26" s="10"/>
      <c r="D26" s="10"/>
      <c r="E26" s="10"/>
      <c r="F26" s="10"/>
      <c r="G26" s="10"/>
      <c r="H26" s="10"/>
      <c r="I26" s="10"/>
      <c r="J26" s="10"/>
      <c r="K26" s="10"/>
      <c r="L26" s="10"/>
      <c r="M26" s="10"/>
      <c r="N26" s="10"/>
      <c r="O26" s="10"/>
    </row>
    <row r="27" customFormat="false" ht="15" hidden="false" customHeight="false" outlineLevel="0" collapsed="false">
      <c r="A27" s="9" t="n">
        <v>22</v>
      </c>
      <c r="B27" s="10"/>
      <c r="C27" s="10"/>
      <c r="D27" s="10"/>
      <c r="E27" s="10"/>
      <c r="F27" s="10"/>
      <c r="G27" s="10"/>
      <c r="H27" s="10"/>
      <c r="I27" s="10"/>
      <c r="J27" s="10"/>
      <c r="K27" s="10"/>
      <c r="L27" s="10"/>
      <c r="M27" s="10"/>
      <c r="N27" s="10"/>
      <c r="O27" s="10"/>
    </row>
    <row r="28" customFormat="false" ht="15" hidden="false" customHeight="false" outlineLevel="0" collapsed="false">
      <c r="A28" s="9" t="n">
        <v>23</v>
      </c>
      <c r="B28" s="10"/>
      <c r="C28" s="10"/>
      <c r="D28" s="10"/>
      <c r="E28" s="10"/>
      <c r="F28" s="10"/>
      <c r="G28" s="10"/>
      <c r="H28" s="10"/>
      <c r="I28" s="10"/>
      <c r="J28" s="10"/>
      <c r="K28" s="10"/>
      <c r="L28" s="10"/>
      <c r="M28" s="10"/>
      <c r="N28" s="10"/>
      <c r="O28" s="10"/>
    </row>
    <row r="29" customFormat="false" ht="15" hidden="false" customHeight="false" outlineLevel="0" collapsed="false">
      <c r="A29" s="9" t="n">
        <v>24</v>
      </c>
      <c r="B29" s="10"/>
      <c r="C29" s="10"/>
      <c r="D29" s="10"/>
      <c r="E29" s="10"/>
      <c r="F29" s="10"/>
      <c r="G29" s="10"/>
      <c r="H29" s="10"/>
      <c r="I29" s="10"/>
      <c r="J29" s="10"/>
      <c r="K29" s="10"/>
      <c r="L29" s="10"/>
      <c r="M29" s="10"/>
      <c r="N29" s="10"/>
      <c r="O29" s="10"/>
    </row>
    <row r="30" customFormat="false" ht="15" hidden="false" customHeight="false" outlineLevel="0" collapsed="false">
      <c r="A30" s="9" t="n">
        <v>25</v>
      </c>
      <c r="B30" s="10"/>
      <c r="C30" s="10"/>
      <c r="D30" s="10"/>
      <c r="E30" s="10"/>
      <c r="F30" s="10"/>
      <c r="G30" s="10"/>
      <c r="H30" s="10"/>
      <c r="I30" s="10"/>
      <c r="J30" s="10"/>
      <c r="K30" s="10"/>
      <c r="L30" s="10"/>
      <c r="M30" s="10"/>
      <c r="N30" s="10"/>
      <c r="O30" s="10"/>
    </row>
    <row r="31" customFormat="false" ht="15" hidden="false" customHeight="false" outlineLevel="0" collapsed="false">
      <c r="A31" s="9" t="n">
        <v>26</v>
      </c>
      <c r="B31" s="10"/>
      <c r="C31" s="10"/>
      <c r="D31" s="10"/>
      <c r="E31" s="10"/>
      <c r="F31" s="10"/>
      <c r="G31" s="10"/>
      <c r="H31" s="10"/>
      <c r="I31" s="10"/>
      <c r="J31" s="10"/>
      <c r="K31" s="10"/>
      <c r="L31" s="10"/>
      <c r="M31" s="10"/>
      <c r="N31" s="10"/>
      <c r="O31" s="10"/>
    </row>
    <row r="32" customFormat="false" ht="15" hidden="false" customHeight="false" outlineLevel="0" collapsed="false">
      <c r="A32" s="9" t="n">
        <v>27</v>
      </c>
      <c r="B32" s="10"/>
      <c r="C32" s="10"/>
      <c r="D32" s="10"/>
      <c r="E32" s="10"/>
      <c r="F32" s="10"/>
      <c r="G32" s="10"/>
      <c r="H32" s="10"/>
      <c r="I32" s="10"/>
      <c r="J32" s="10"/>
      <c r="K32" s="10"/>
      <c r="L32" s="10"/>
      <c r="M32" s="10"/>
      <c r="N32" s="10"/>
      <c r="O32" s="10"/>
    </row>
    <row r="33" customFormat="false" ht="15" hidden="false" customHeight="false" outlineLevel="0" collapsed="false">
      <c r="A33" s="9" t="n">
        <v>28</v>
      </c>
      <c r="B33" s="10"/>
      <c r="C33" s="10"/>
      <c r="D33" s="10"/>
      <c r="E33" s="10"/>
      <c r="F33" s="10"/>
      <c r="G33" s="10"/>
      <c r="H33" s="10"/>
      <c r="I33" s="10"/>
      <c r="J33" s="10"/>
      <c r="K33" s="10"/>
      <c r="L33" s="10"/>
      <c r="M33" s="10"/>
      <c r="N33" s="10"/>
      <c r="O33" s="10"/>
    </row>
    <row r="34" customFormat="false" ht="15" hidden="false" customHeight="false" outlineLevel="0" collapsed="false">
      <c r="A34" s="9" t="n">
        <v>29</v>
      </c>
      <c r="B34" s="10"/>
      <c r="C34" s="10"/>
      <c r="D34" s="10"/>
      <c r="E34" s="10"/>
      <c r="F34" s="10"/>
      <c r="G34" s="10"/>
      <c r="H34" s="10"/>
      <c r="I34" s="10"/>
      <c r="J34" s="10"/>
      <c r="K34" s="10"/>
      <c r="L34" s="10"/>
      <c r="M34" s="10"/>
      <c r="N34" s="10"/>
      <c r="O34" s="10"/>
    </row>
    <row r="35" customFormat="false" ht="15" hidden="false" customHeight="false" outlineLevel="0" collapsed="false">
      <c r="A35" s="9" t="n">
        <v>30</v>
      </c>
      <c r="B35" s="10"/>
      <c r="C35" s="10"/>
      <c r="D35" s="10"/>
      <c r="E35" s="10"/>
      <c r="F35" s="10"/>
      <c r="G35" s="10"/>
      <c r="H35" s="10"/>
      <c r="I35" s="10"/>
      <c r="J35" s="10"/>
      <c r="K35" s="10"/>
      <c r="L35" s="10"/>
      <c r="M35" s="10"/>
      <c r="N35" s="10"/>
      <c r="O35" s="10"/>
    </row>
    <row r="36" customFormat="false" ht="15" hidden="false" customHeight="false" outlineLevel="0" collapsed="false">
      <c r="A36" s="9" t="n">
        <v>31</v>
      </c>
      <c r="B36" s="10"/>
      <c r="C36" s="10"/>
      <c r="D36" s="10"/>
      <c r="E36" s="10"/>
      <c r="F36" s="10"/>
      <c r="G36" s="10"/>
      <c r="H36" s="10"/>
      <c r="I36" s="10"/>
      <c r="J36" s="10"/>
      <c r="K36" s="10"/>
      <c r="L36" s="10"/>
      <c r="M36" s="10"/>
      <c r="N36" s="10"/>
      <c r="O36" s="10"/>
    </row>
    <row r="37" customFormat="false" ht="15" hidden="false" customHeight="false" outlineLevel="0" collapsed="false">
      <c r="A37" s="9" t="n">
        <v>32</v>
      </c>
      <c r="B37" s="10"/>
      <c r="C37" s="10"/>
      <c r="D37" s="10"/>
      <c r="E37" s="10"/>
      <c r="F37" s="10"/>
      <c r="G37" s="10"/>
      <c r="H37" s="10"/>
      <c r="I37" s="10"/>
      <c r="J37" s="10"/>
      <c r="K37" s="10"/>
      <c r="L37" s="10"/>
      <c r="M37" s="10"/>
      <c r="N37" s="10"/>
      <c r="O37" s="10"/>
    </row>
    <row r="38" customFormat="false" ht="15" hidden="false" customHeight="false" outlineLevel="0" collapsed="false">
      <c r="A38" s="9" t="n">
        <v>33</v>
      </c>
      <c r="B38" s="10"/>
      <c r="C38" s="10"/>
      <c r="D38" s="10"/>
      <c r="E38" s="10"/>
      <c r="F38" s="10"/>
      <c r="G38" s="10"/>
      <c r="H38" s="10"/>
      <c r="I38" s="10"/>
      <c r="J38" s="10"/>
      <c r="K38" s="10"/>
      <c r="L38" s="10"/>
      <c r="M38" s="10"/>
      <c r="N38" s="10"/>
      <c r="O38" s="10"/>
    </row>
    <row r="39" customFormat="false" ht="15" hidden="false" customHeight="false" outlineLevel="0" collapsed="false">
      <c r="A39" s="9" t="n">
        <v>34</v>
      </c>
      <c r="B39" s="10"/>
      <c r="C39" s="10"/>
      <c r="D39" s="10"/>
      <c r="E39" s="10"/>
      <c r="F39" s="10"/>
      <c r="G39" s="10"/>
      <c r="H39" s="10"/>
      <c r="I39" s="10"/>
      <c r="J39" s="10"/>
      <c r="K39" s="10"/>
      <c r="L39" s="10"/>
      <c r="M39" s="10"/>
      <c r="N39" s="10"/>
      <c r="O39" s="10"/>
    </row>
    <row r="40" customFormat="false" ht="15" hidden="false" customHeight="false" outlineLevel="0" collapsed="false">
      <c r="A40" s="9" t="n">
        <v>35</v>
      </c>
      <c r="B40" s="10"/>
      <c r="C40" s="10"/>
      <c r="D40" s="10"/>
      <c r="E40" s="10"/>
      <c r="F40" s="10"/>
      <c r="G40" s="10"/>
      <c r="H40" s="10"/>
      <c r="I40" s="10"/>
      <c r="J40" s="10"/>
      <c r="K40" s="10"/>
      <c r="L40" s="10"/>
      <c r="M40" s="10"/>
      <c r="N40" s="10"/>
      <c r="O40" s="10"/>
    </row>
    <row r="41" customFormat="false" ht="15" hidden="false" customHeight="false" outlineLevel="0" collapsed="false">
      <c r="A41" s="9" t="n">
        <v>36</v>
      </c>
      <c r="B41" s="10"/>
      <c r="C41" s="10"/>
      <c r="D41" s="10"/>
      <c r="E41" s="10"/>
      <c r="F41" s="10"/>
      <c r="G41" s="10"/>
      <c r="H41" s="10"/>
      <c r="I41" s="10"/>
      <c r="J41" s="10"/>
      <c r="K41" s="10"/>
      <c r="L41" s="10"/>
      <c r="M41" s="10"/>
      <c r="N41" s="10"/>
      <c r="O41" s="10"/>
    </row>
    <row r="42" customFormat="false" ht="15" hidden="false" customHeight="false" outlineLevel="0" collapsed="false">
      <c r="A42" s="9" t="n">
        <v>37</v>
      </c>
      <c r="B42" s="10"/>
      <c r="C42" s="10"/>
      <c r="D42" s="10"/>
      <c r="E42" s="10"/>
      <c r="F42" s="10"/>
      <c r="G42" s="10"/>
      <c r="H42" s="10"/>
      <c r="I42" s="10"/>
      <c r="J42" s="10"/>
      <c r="K42" s="10"/>
      <c r="L42" s="10"/>
      <c r="M42" s="10"/>
      <c r="N42" s="10"/>
      <c r="O42" s="10"/>
    </row>
    <row r="43" customFormat="false" ht="15" hidden="false" customHeight="false" outlineLevel="0" collapsed="false">
      <c r="A43" s="9" t="n">
        <v>38</v>
      </c>
      <c r="B43" s="10"/>
      <c r="C43" s="10"/>
      <c r="D43" s="10"/>
      <c r="E43" s="10"/>
      <c r="F43" s="10"/>
      <c r="G43" s="10"/>
      <c r="H43" s="10"/>
      <c r="I43" s="10"/>
      <c r="J43" s="10"/>
      <c r="K43" s="10"/>
      <c r="L43" s="10"/>
      <c r="M43" s="10"/>
      <c r="N43" s="10"/>
      <c r="O43" s="10"/>
    </row>
    <row r="44" customFormat="false" ht="15" hidden="false" customHeight="false" outlineLevel="0" collapsed="false">
      <c r="A44" s="9" t="n">
        <v>39</v>
      </c>
      <c r="B44" s="10"/>
      <c r="C44" s="10"/>
      <c r="D44" s="10"/>
      <c r="E44" s="10"/>
      <c r="F44" s="10"/>
      <c r="G44" s="10"/>
      <c r="H44" s="10"/>
      <c r="I44" s="10"/>
      <c r="J44" s="10"/>
      <c r="K44" s="10"/>
      <c r="L44" s="10"/>
      <c r="M44" s="10"/>
      <c r="N44" s="10"/>
      <c r="O44" s="10"/>
    </row>
    <row r="45" customFormat="false" ht="15" hidden="false" customHeight="false" outlineLevel="0" collapsed="false">
      <c r="A45" s="9" t="n">
        <v>40</v>
      </c>
      <c r="B45" s="10"/>
      <c r="C45" s="10"/>
      <c r="D45" s="10"/>
      <c r="E45" s="10"/>
      <c r="F45" s="10"/>
      <c r="G45" s="10"/>
      <c r="H45" s="10"/>
      <c r="I45" s="10"/>
      <c r="J45" s="10"/>
      <c r="K45" s="10"/>
      <c r="L45" s="10"/>
      <c r="M45" s="10"/>
      <c r="N45" s="10"/>
      <c r="O45" s="10"/>
    </row>
    <row r="46" customFormat="false" ht="15" hidden="false" customHeight="false" outlineLevel="0" collapsed="false">
      <c r="A46" s="9" t="n">
        <v>41</v>
      </c>
      <c r="B46" s="10"/>
      <c r="C46" s="10"/>
      <c r="D46" s="10"/>
      <c r="E46" s="10"/>
      <c r="F46" s="10"/>
      <c r="G46" s="10"/>
      <c r="H46" s="10"/>
      <c r="I46" s="10"/>
      <c r="J46" s="10"/>
      <c r="K46" s="10"/>
      <c r="L46" s="10"/>
      <c r="M46" s="10"/>
      <c r="N46" s="10"/>
      <c r="O46" s="10"/>
    </row>
    <row r="47" customFormat="false" ht="15" hidden="false" customHeight="false" outlineLevel="0" collapsed="false">
      <c r="A47" s="9" t="n">
        <v>42</v>
      </c>
      <c r="B47" s="10"/>
      <c r="C47" s="10"/>
      <c r="D47" s="10"/>
      <c r="E47" s="10"/>
      <c r="F47" s="10"/>
      <c r="G47" s="10"/>
      <c r="H47" s="10"/>
      <c r="I47" s="10"/>
      <c r="J47" s="10"/>
      <c r="K47" s="10"/>
      <c r="L47" s="10"/>
      <c r="M47" s="10"/>
      <c r="N47" s="10"/>
      <c r="O47" s="10"/>
    </row>
    <row r="48" customFormat="false" ht="15" hidden="false" customHeight="false" outlineLevel="0" collapsed="false">
      <c r="A48" s="9" t="n">
        <v>43</v>
      </c>
      <c r="B48" s="10"/>
      <c r="C48" s="10"/>
      <c r="D48" s="10"/>
      <c r="E48" s="10"/>
      <c r="F48" s="10"/>
      <c r="G48" s="10"/>
      <c r="H48" s="10"/>
      <c r="I48" s="10"/>
      <c r="J48" s="10"/>
      <c r="K48" s="10"/>
      <c r="L48" s="10"/>
      <c r="M48" s="10"/>
      <c r="N48" s="10"/>
      <c r="O48" s="10"/>
    </row>
    <row r="49" customFormat="false" ht="15" hidden="false" customHeight="false" outlineLevel="0" collapsed="false">
      <c r="A49" s="9" t="n">
        <v>44</v>
      </c>
      <c r="B49" s="10"/>
      <c r="C49" s="10"/>
      <c r="D49" s="10"/>
      <c r="E49" s="10"/>
      <c r="F49" s="10"/>
      <c r="G49" s="10"/>
      <c r="H49" s="10"/>
      <c r="I49" s="10"/>
      <c r="J49" s="10"/>
      <c r="K49" s="10"/>
      <c r="L49" s="10"/>
      <c r="M49" s="10"/>
      <c r="N49" s="10"/>
      <c r="O49" s="10"/>
    </row>
    <row r="50" customFormat="false" ht="15" hidden="false" customHeight="false" outlineLevel="0" collapsed="false">
      <c r="A50" s="9" t="n">
        <v>45</v>
      </c>
      <c r="B50" s="10"/>
      <c r="C50" s="10"/>
      <c r="D50" s="10"/>
      <c r="E50" s="10"/>
      <c r="F50" s="10"/>
      <c r="G50" s="10"/>
      <c r="H50" s="10"/>
      <c r="I50" s="10"/>
      <c r="J50" s="10"/>
      <c r="K50" s="10"/>
      <c r="L50" s="10"/>
      <c r="M50" s="10"/>
      <c r="N50" s="10"/>
      <c r="O50" s="10"/>
    </row>
    <row r="51" customFormat="false" ht="15" hidden="false" customHeight="false" outlineLevel="0" collapsed="false">
      <c r="A51" s="9" t="n">
        <v>46</v>
      </c>
      <c r="B51" s="10"/>
      <c r="C51" s="10"/>
      <c r="D51" s="10"/>
      <c r="E51" s="10"/>
      <c r="F51" s="10"/>
      <c r="G51" s="10"/>
      <c r="H51" s="10"/>
      <c r="I51" s="10"/>
      <c r="J51" s="10"/>
      <c r="K51" s="10"/>
      <c r="L51" s="10"/>
      <c r="M51" s="10"/>
      <c r="N51" s="10"/>
      <c r="O51" s="10"/>
    </row>
    <row r="52" customFormat="false" ht="15" hidden="false" customHeight="false" outlineLevel="0" collapsed="false">
      <c r="A52" s="9" t="n">
        <v>47</v>
      </c>
      <c r="B52" s="10"/>
      <c r="C52" s="10"/>
      <c r="D52" s="10"/>
      <c r="E52" s="10"/>
      <c r="F52" s="10"/>
      <c r="G52" s="10"/>
      <c r="H52" s="10"/>
      <c r="I52" s="10"/>
      <c r="J52" s="10"/>
      <c r="K52" s="10"/>
      <c r="L52" s="10"/>
      <c r="M52" s="10"/>
      <c r="N52" s="10"/>
      <c r="O52" s="10"/>
    </row>
    <row r="53" customFormat="false" ht="15" hidden="false" customHeight="false" outlineLevel="0" collapsed="false">
      <c r="A53" s="9" t="n">
        <v>48</v>
      </c>
      <c r="B53" s="10"/>
      <c r="C53" s="10"/>
      <c r="D53" s="10"/>
      <c r="E53" s="10"/>
      <c r="F53" s="10"/>
      <c r="G53" s="10"/>
      <c r="H53" s="10"/>
      <c r="I53" s="10"/>
      <c r="J53" s="10"/>
      <c r="K53" s="10"/>
      <c r="L53" s="10"/>
      <c r="M53" s="10"/>
      <c r="N53" s="10"/>
      <c r="O53" s="10"/>
    </row>
    <row r="54" customFormat="false" ht="15" hidden="false" customHeight="false" outlineLevel="0" collapsed="false">
      <c r="A54" s="9" t="n">
        <v>49</v>
      </c>
      <c r="B54" s="10"/>
      <c r="C54" s="10"/>
      <c r="D54" s="10"/>
      <c r="E54" s="10"/>
      <c r="F54" s="10"/>
      <c r="G54" s="10"/>
      <c r="H54" s="10"/>
      <c r="I54" s="10"/>
      <c r="J54" s="10"/>
      <c r="K54" s="10"/>
      <c r="L54" s="10"/>
      <c r="M54" s="10"/>
      <c r="N54" s="10"/>
      <c r="O54" s="10"/>
    </row>
    <row r="55" customFormat="false" ht="15" hidden="false" customHeight="false" outlineLevel="0" collapsed="false">
      <c r="A55" s="9" t="n">
        <v>50</v>
      </c>
      <c r="B55" s="10"/>
      <c r="C55" s="10"/>
      <c r="D55" s="10"/>
      <c r="E55" s="10"/>
      <c r="F55" s="10"/>
      <c r="G55" s="10"/>
      <c r="H55" s="10"/>
      <c r="I55" s="10"/>
      <c r="J55" s="10"/>
      <c r="K55" s="10"/>
      <c r="L55" s="10"/>
      <c r="M55" s="10"/>
      <c r="N55" s="10"/>
      <c r="O55" s="10"/>
    </row>
    <row r="56" customFormat="false" ht="15" hidden="false" customHeight="false" outlineLevel="0" collapsed="false">
      <c r="A56" s="9" t="n">
        <v>51</v>
      </c>
      <c r="B56" s="10"/>
      <c r="C56" s="10"/>
      <c r="D56" s="10"/>
      <c r="E56" s="10"/>
      <c r="F56" s="10"/>
      <c r="G56" s="10"/>
      <c r="H56" s="10"/>
      <c r="I56" s="10"/>
      <c r="J56" s="10"/>
      <c r="K56" s="10"/>
      <c r="L56" s="10"/>
      <c r="M56" s="10"/>
      <c r="N56" s="10"/>
      <c r="O56" s="10"/>
    </row>
    <row r="57" customFormat="false" ht="15" hidden="false" customHeight="false" outlineLevel="0" collapsed="false">
      <c r="A57" s="9" t="n">
        <v>52</v>
      </c>
      <c r="B57" s="10"/>
      <c r="C57" s="10"/>
      <c r="D57" s="10"/>
      <c r="E57" s="10"/>
      <c r="F57" s="10"/>
      <c r="G57" s="10"/>
      <c r="H57" s="10"/>
      <c r="I57" s="10"/>
      <c r="J57" s="10"/>
      <c r="K57" s="10"/>
      <c r="L57" s="10"/>
      <c r="M57" s="10"/>
      <c r="N57" s="10"/>
      <c r="O57" s="10"/>
    </row>
    <row r="58" customFormat="false" ht="15" hidden="false" customHeight="false" outlineLevel="0" collapsed="false">
      <c r="A58" s="9" t="n">
        <v>53</v>
      </c>
      <c r="B58" s="10"/>
      <c r="C58" s="10"/>
      <c r="D58" s="10"/>
      <c r="E58" s="10"/>
      <c r="F58" s="10"/>
      <c r="G58" s="10"/>
      <c r="H58" s="10"/>
      <c r="I58" s="10"/>
      <c r="J58" s="10"/>
      <c r="K58" s="10"/>
      <c r="L58" s="10"/>
      <c r="M58" s="10"/>
      <c r="N58" s="10"/>
      <c r="O58" s="10"/>
    </row>
    <row r="59" customFormat="false" ht="15" hidden="false" customHeight="false" outlineLevel="0" collapsed="false">
      <c r="A59" s="9" t="n">
        <v>54</v>
      </c>
      <c r="B59" s="10"/>
      <c r="C59" s="10"/>
      <c r="D59" s="10"/>
      <c r="E59" s="10"/>
      <c r="F59" s="10"/>
      <c r="G59" s="10"/>
      <c r="H59" s="10"/>
      <c r="I59" s="10"/>
      <c r="J59" s="10"/>
      <c r="K59" s="10"/>
      <c r="L59" s="10"/>
      <c r="M59" s="10"/>
      <c r="N59" s="10"/>
      <c r="O59" s="10"/>
    </row>
    <row r="60" customFormat="false" ht="15" hidden="false" customHeight="false" outlineLevel="0" collapsed="false">
      <c r="A60" s="9" t="n">
        <v>55</v>
      </c>
      <c r="B60" s="10"/>
      <c r="C60" s="10"/>
      <c r="D60" s="10"/>
      <c r="E60" s="10"/>
      <c r="F60" s="10"/>
      <c r="G60" s="10"/>
      <c r="H60" s="10"/>
      <c r="I60" s="10"/>
      <c r="J60" s="10"/>
      <c r="K60" s="10"/>
      <c r="L60" s="10"/>
      <c r="M60" s="10"/>
      <c r="N60" s="10"/>
      <c r="O60" s="10"/>
    </row>
    <row r="61" customFormat="false" ht="15" hidden="false" customHeight="false" outlineLevel="0" collapsed="false">
      <c r="A61" s="9" t="n">
        <v>56</v>
      </c>
      <c r="B61" s="10"/>
      <c r="C61" s="10"/>
      <c r="D61" s="10"/>
      <c r="E61" s="10"/>
      <c r="F61" s="10"/>
      <c r="G61" s="10"/>
      <c r="H61" s="10"/>
      <c r="I61" s="10"/>
      <c r="J61" s="10"/>
      <c r="K61" s="10"/>
      <c r="L61" s="10"/>
      <c r="M61" s="10"/>
      <c r="N61" s="10"/>
      <c r="O61" s="10"/>
    </row>
    <row r="62" customFormat="false" ht="15" hidden="false" customHeight="false" outlineLevel="0" collapsed="false">
      <c r="A62" s="9" t="n">
        <v>57</v>
      </c>
      <c r="B62" s="10"/>
      <c r="C62" s="10"/>
      <c r="D62" s="10"/>
      <c r="E62" s="10"/>
      <c r="F62" s="10"/>
      <c r="G62" s="10"/>
      <c r="H62" s="10"/>
      <c r="I62" s="10"/>
      <c r="J62" s="10"/>
      <c r="K62" s="10"/>
      <c r="L62" s="10"/>
      <c r="M62" s="10"/>
      <c r="N62" s="10"/>
      <c r="O62" s="10"/>
    </row>
    <row r="63" customFormat="false" ht="15" hidden="false" customHeight="false" outlineLevel="0" collapsed="false">
      <c r="A63" s="9" t="n">
        <v>58</v>
      </c>
      <c r="B63" s="10"/>
      <c r="C63" s="10"/>
      <c r="D63" s="10"/>
      <c r="E63" s="10"/>
      <c r="F63" s="10"/>
      <c r="G63" s="10"/>
      <c r="H63" s="10"/>
      <c r="I63" s="10"/>
      <c r="J63" s="10"/>
      <c r="K63" s="10"/>
      <c r="L63" s="10"/>
      <c r="M63" s="10"/>
      <c r="N63" s="10"/>
      <c r="O63" s="10"/>
    </row>
    <row r="64" customFormat="false" ht="15" hidden="false" customHeight="false" outlineLevel="0" collapsed="false">
      <c r="A64" s="9" t="n">
        <v>59</v>
      </c>
      <c r="B64" s="10"/>
      <c r="C64" s="10"/>
      <c r="D64" s="10"/>
      <c r="E64" s="10"/>
      <c r="F64" s="10"/>
      <c r="G64" s="10"/>
      <c r="H64" s="10"/>
      <c r="I64" s="10"/>
      <c r="J64" s="10"/>
      <c r="K64" s="10"/>
      <c r="L64" s="10"/>
      <c r="M64" s="10"/>
      <c r="N64" s="10"/>
      <c r="O64" s="10"/>
    </row>
    <row r="65" customFormat="false" ht="15" hidden="false" customHeight="false" outlineLevel="0" collapsed="false">
      <c r="A65" s="9" t="n">
        <v>60</v>
      </c>
      <c r="B65" s="10"/>
      <c r="C65" s="10"/>
      <c r="D65" s="10"/>
      <c r="E65" s="10"/>
      <c r="F65" s="10"/>
      <c r="G65" s="10"/>
      <c r="H65" s="10"/>
      <c r="I65" s="10"/>
      <c r="J65" s="10"/>
      <c r="K65" s="10"/>
      <c r="L65" s="10"/>
      <c r="M65" s="10"/>
      <c r="N65" s="10"/>
      <c r="O65" s="10"/>
    </row>
    <row r="66" customFormat="false" ht="15" hidden="false" customHeight="false" outlineLevel="0" collapsed="false">
      <c r="A66" s="9" t="n">
        <v>61</v>
      </c>
      <c r="B66" s="10"/>
      <c r="C66" s="10"/>
      <c r="D66" s="10"/>
      <c r="E66" s="10"/>
      <c r="F66" s="10"/>
      <c r="G66" s="10"/>
      <c r="H66" s="10"/>
      <c r="I66" s="10"/>
      <c r="J66" s="10"/>
      <c r="K66" s="10"/>
      <c r="L66" s="10"/>
      <c r="M66" s="10"/>
      <c r="N66" s="10"/>
      <c r="O66" s="10"/>
    </row>
    <row r="67" customFormat="false" ht="15" hidden="false" customHeight="false" outlineLevel="0" collapsed="false">
      <c r="A67" s="9" t="n">
        <v>62</v>
      </c>
      <c r="B67" s="10"/>
      <c r="C67" s="10"/>
      <c r="D67" s="10"/>
      <c r="E67" s="10"/>
      <c r="F67" s="10"/>
      <c r="G67" s="10"/>
      <c r="H67" s="10"/>
      <c r="I67" s="10"/>
      <c r="J67" s="10"/>
      <c r="K67" s="10"/>
      <c r="L67" s="10"/>
      <c r="M67" s="10"/>
      <c r="N67" s="10"/>
      <c r="O67" s="10"/>
    </row>
    <row r="68" customFormat="false" ht="15" hidden="false" customHeight="false" outlineLevel="0" collapsed="false">
      <c r="A68" s="9" t="n">
        <v>63</v>
      </c>
      <c r="B68" s="10"/>
      <c r="C68" s="10"/>
      <c r="D68" s="10"/>
      <c r="E68" s="10"/>
      <c r="F68" s="10"/>
      <c r="G68" s="10"/>
      <c r="H68" s="10"/>
      <c r="I68" s="10"/>
      <c r="J68" s="10"/>
      <c r="K68" s="10"/>
      <c r="L68" s="10"/>
      <c r="M68" s="10"/>
      <c r="N68" s="10"/>
      <c r="O68" s="10"/>
    </row>
    <row r="69" customFormat="false" ht="15" hidden="false" customHeight="false" outlineLevel="0" collapsed="false">
      <c r="A69" s="9" t="n">
        <v>64</v>
      </c>
      <c r="B69" s="10"/>
      <c r="C69" s="10"/>
      <c r="D69" s="10"/>
      <c r="E69" s="10"/>
      <c r="F69" s="10"/>
      <c r="G69" s="10"/>
      <c r="H69" s="10"/>
      <c r="I69" s="10"/>
      <c r="J69" s="10"/>
      <c r="K69" s="10"/>
      <c r="L69" s="10"/>
      <c r="M69" s="10"/>
      <c r="N69" s="10"/>
      <c r="O69" s="10"/>
    </row>
    <row r="70" customFormat="false" ht="15" hidden="false" customHeight="false" outlineLevel="0" collapsed="false">
      <c r="A70" s="9" t="n">
        <v>65</v>
      </c>
      <c r="B70" s="10"/>
      <c r="C70" s="10"/>
      <c r="D70" s="10"/>
      <c r="E70" s="10"/>
      <c r="F70" s="10"/>
      <c r="G70" s="10"/>
      <c r="H70" s="10"/>
      <c r="I70" s="10"/>
      <c r="J70" s="10"/>
      <c r="K70" s="10"/>
      <c r="L70" s="10"/>
      <c r="M70" s="10"/>
      <c r="N70" s="10"/>
      <c r="O70" s="10"/>
    </row>
    <row r="71" customFormat="false" ht="15" hidden="false" customHeight="false" outlineLevel="0" collapsed="false">
      <c r="A71" s="9" t="n">
        <v>66</v>
      </c>
      <c r="B71" s="10"/>
      <c r="C71" s="10"/>
      <c r="D71" s="10"/>
      <c r="E71" s="10"/>
      <c r="F71" s="10"/>
      <c r="G71" s="10"/>
      <c r="H71" s="10"/>
      <c r="I71" s="10"/>
      <c r="J71" s="10"/>
      <c r="K71" s="10"/>
      <c r="L71" s="10"/>
      <c r="M71" s="10"/>
      <c r="N71" s="10"/>
      <c r="O71" s="10"/>
    </row>
    <row r="72" customFormat="false" ht="15" hidden="false" customHeight="false" outlineLevel="0" collapsed="false">
      <c r="A72" s="9" t="n">
        <v>67</v>
      </c>
      <c r="B72" s="10"/>
      <c r="C72" s="10"/>
      <c r="D72" s="10"/>
      <c r="E72" s="10"/>
      <c r="F72" s="10"/>
      <c r="G72" s="10"/>
      <c r="H72" s="10"/>
      <c r="I72" s="10"/>
      <c r="J72" s="10"/>
      <c r="K72" s="10"/>
      <c r="L72" s="10"/>
      <c r="M72" s="10"/>
      <c r="N72" s="10"/>
      <c r="O72" s="10"/>
    </row>
    <row r="73" customFormat="false" ht="15" hidden="false" customHeight="false" outlineLevel="0" collapsed="false">
      <c r="A73" s="9" t="n">
        <v>68</v>
      </c>
      <c r="B73" s="10"/>
      <c r="C73" s="10"/>
      <c r="D73" s="10"/>
      <c r="E73" s="10"/>
      <c r="F73" s="10"/>
      <c r="G73" s="10"/>
      <c r="H73" s="10"/>
      <c r="I73" s="10"/>
      <c r="J73" s="10"/>
      <c r="K73" s="10"/>
      <c r="L73" s="10"/>
      <c r="M73" s="10"/>
      <c r="N73" s="10"/>
      <c r="O73" s="10"/>
    </row>
    <row r="74" customFormat="false" ht="15" hidden="false" customHeight="false" outlineLevel="0" collapsed="false">
      <c r="A74" s="9" t="n">
        <v>69</v>
      </c>
      <c r="B74" s="10"/>
      <c r="C74" s="10"/>
      <c r="D74" s="10"/>
      <c r="E74" s="10"/>
      <c r="F74" s="10"/>
      <c r="G74" s="10"/>
      <c r="H74" s="10"/>
      <c r="I74" s="10"/>
      <c r="J74" s="10"/>
      <c r="K74" s="10"/>
      <c r="L74" s="10"/>
      <c r="M74" s="10"/>
      <c r="N74" s="10"/>
      <c r="O74" s="10"/>
    </row>
    <row r="75" customFormat="false" ht="15" hidden="false" customHeight="false" outlineLevel="0" collapsed="false">
      <c r="A75" s="9" t="n">
        <v>70</v>
      </c>
      <c r="B75" s="10"/>
      <c r="C75" s="10"/>
      <c r="D75" s="10"/>
      <c r="E75" s="10"/>
      <c r="F75" s="10"/>
      <c r="G75" s="10"/>
      <c r="H75" s="10"/>
      <c r="I75" s="10"/>
      <c r="J75" s="10"/>
      <c r="K75" s="10"/>
      <c r="L75" s="10"/>
      <c r="M75" s="10"/>
      <c r="N75" s="10"/>
      <c r="O75" s="10"/>
    </row>
    <row r="76" customFormat="false" ht="15" hidden="false" customHeight="false" outlineLevel="0" collapsed="false">
      <c r="A76" s="9" t="n">
        <v>71</v>
      </c>
      <c r="B76" s="10"/>
      <c r="C76" s="10"/>
      <c r="D76" s="10"/>
      <c r="E76" s="10"/>
      <c r="F76" s="10"/>
      <c r="G76" s="10"/>
      <c r="H76" s="10"/>
      <c r="I76" s="10"/>
      <c r="J76" s="10"/>
      <c r="K76" s="10"/>
      <c r="L76" s="10"/>
      <c r="M76" s="10"/>
      <c r="N76" s="10"/>
      <c r="O76" s="10"/>
    </row>
    <row r="77" customFormat="false" ht="15" hidden="false" customHeight="false" outlineLevel="0" collapsed="false">
      <c r="A77" s="9" t="n">
        <v>72</v>
      </c>
      <c r="B77" s="10"/>
      <c r="C77" s="10"/>
      <c r="D77" s="10"/>
      <c r="E77" s="10"/>
      <c r="F77" s="10"/>
      <c r="G77" s="10"/>
      <c r="H77" s="10"/>
      <c r="I77" s="10"/>
      <c r="J77" s="10"/>
      <c r="K77" s="10"/>
      <c r="L77" s="10"/>
      <c r="M77" s="10"/>
      <c r="N77" s="10"/>
      <c r="O77" s="10"/>
    </row>
    <row r="78" customFormat="false" ht="15" hidden="false" customHeight="false" outlineLevel="0" collapsed="false">
      <c r="A78" s="9" t="n">
        <v>73</v>
      </c>
      <c r="B78" s="10"/>
      <c r="C78" s="10"/>
      <c r="D78" s="10"/>
      <c r="E78" s="10"/>
      <c r="F78" s="10"/>
      <c r="G78" s="10"/>
      <c r="H78" s="10"/>
      <c r="I78" s="10"/>
      <c r="J78" s="10"/>
      <c r="K78" s="10"/>
      <c r="L78" s="10"/>
      <c r="M78" s="10"/>
      <c r="N78" s="10"/>
      <c r="O78" s="10"/>
    </row>
    <row r="79" customFormat="false" ht="15" hidden="false" customHeight="false" outlineLevel="0" collapsed="false">
      <c r="A79" s="9" t="n">
        <v>74</v>
      </c>
      <c r="B79" s="10"/>
      <c r="C79" s="10"/>
      <c r="D79" s="10"/>
      <c r="E79" s="10"/>
      <c r="F79" s="10"/>
      <c r="G79" s="10"/>
      <c r="H79" s="10"/>
      <c r="I79" s="10"/>
      <c r="J79" s="10"/>
      <c r="K79" s="10"/>
      <c r="L79" s="10"/>
      <c r="M79" s="10"/>
      <c r="N79" s="10"/>
      <c r="O79" s="10"/>
    </row>
    <row r="80" customFormat="false" ht="15" hidden="false" customHeight="false" outlineLevel="0" collapsed="false">
      <c r="A80" s="9" t="n">
        <v>75</v>
      </c>
      <c r="B80" s="10"/>
      <c r="C80" s="10"/>
      <c r="D80" s="10"/>
      <c r="E80" s="10"/>
      <c r="F80" s="10"/>
      <c r="G80" s="10"/>
      <c r="H80" s="10"/>
      <c r="I80" s="10"/>
      <c r="J80" s="10"/>
      <c r="K80" s="10"/>
      <c r="L80" s="10"/>
      <c r="M80" s="10"/>
      <c r="N80" s="10"/>
      <c r="O80" s="10"/>
    </row>
    <row r="81" customFormat="false" ht="15" hidden="false" customHeight="false" outlineLevel="0" collapsed="false">
      <c r="A81" s="9" t="n">
        <v>76</v>
      </c>
      <c r="B81" s="10"/>
      <c r="C81" s="10"/>
      <c r="D81" s="10"/>
      <c r="E81" s="10"/>
      <c r="F81" s="10"/>
      <c r="G81" s="10"/>
      <c r="H81" s="10"/>
      <c r="I81" s="10"/>
      <c r="J81" s="10"/>
      <c r="K81" s="10"/>
      <c r="L81" s="10"/>
      <c r="M81" s="10"/>
      <c r="N81" s="10"/>
      <c r="O81" s="10"/>
    </row>
    <row r="82" customFormat="false" ht="15" hidden="false" customHeight="false" outlineLevel="0" collapsed="false">
      <c r="A82" s="9" t="n">
        <v>77</v>
      </c>
      <c r="B82" s="10"/>
      <c r="C82" s="10"/>
      <c r="D82" s="10"/>
      <c r="E82" s="10"/>
      <c r="F82" s="10"/>
      <c r="G82" s="10"/>
      <c r="H82" s="10"/>
      <c r="I82" s="10"/>
      <c r="J82" s="10"/>
      <c r="K82" s="10"/>
      <c r="L82" s="10"/>
      <c r="M82" s="10"/>
      <c r="N82" s="10"/>
      <c r="O82" s="10"/>
    </row>
    <row r="83" customFormat="false" ht="15" hidden="false" customHeight="false" outlineLevel="0" collapsed="false">
      <c r="A83" s="9" t="n">
        <v>78</v>
      </c>
      <c r="B83" s="10"/>
      <c r="C83" s="10"/>
      <c r="D83" s="10"/>
      <c r="E83" s="10"/>
      <c r="F83" s="10"/>
      <c r="G83" s="10"/>
      <c r="H83" s="10"/>
      <c r="I83" s="10"/>
      <c r="J83" s="10"/>
      <c r="K83" s="10"/>
      <c r="L83" s="10"/>
      <c r="M83" s="10"/>
      <c r="N83" s="10"/>
      <c r="O83" s="10"/>
    </row>
    <row r="84" customFormat="false" ht="15" hidden="false" customHeight="false" outlineLevel="0" collapsed="false">
      <c r="A84" s="9" t="n">
        <v>79</v>
      </c>
      <c r="B84" s="10"/>
      <c r="C84" s="10"/>
      <c r="D84" s="10"/>
      <c r="E84" s="10"/>
      <c r="F84" s="10"/>
      <c r="G84" s="10"/>
      <c r="H84" s="10"/>
      <c r="I84" s="10"/>
      <c r="J84" s="10"/>
      <c r="K84" s="10"/>
      <c r="L84" s="10"/>
      <c r="M84" s="10"/>
      <c r="N84" s="10"/>
      <c r="O84" s="10"/>
    </row>
    <row r="85" customFormat="false" ht="15" hidden="false" customHeight="false" outlineLevel="0" collapsed="false">
      <c r="A85" s="9" t="n">
        <v>80</v>
      </c>
      <c r="B85" s="10"/>
      <c r="C85" s="10"/>
      <c r="D85" s="10"/>
      <c r="E85" s="10"/>
      <c r="F85" s="10"/>
      <c r="G85" s="10"/>
      <c r="H85" s="10"/>
      <c r="I85" s="10"/>
      <c r="J85" s="10"/>
      <c r="K85" s="10"/>
      <c r="L85" s="10"/>
      <c r="M85" s="10"/>
      <c r="N85" s="10"/>
      <c r="O85" s="10"/>
    </row>
    <row r="86" customFormat="false" ht="15" hidden="false" customHeight="false" outlineLevel="0" collapsed="false">
      <c r="A86" s="9" t="n">
        <v>81</v>
      </c>
      <c r="B86" s="10"/>
      <c r="C86" s="10"/>
      <c r="D86" s="10"/>
      <c r="E86" s="10"/>
      <c r="F86" s="10"/>
      <c r="G86" s="10"/>
      <c r="H86" s="10"/>
      <c r="I86" s="10"/>
      <c r="J86" s="10"/>
      <c r="K86" s="10"/>
      <c r="L86" s="10"/>
      <c r="M86" s="10"/>
      <c r="N86" s="10"/>
      <c r="O86" s="10"/>
    </row>
    <row r="87" customFormat="false" ht="15" hidden="false" customHeight="false" outlineLevel="0" collapsed="false">
      <c r="A87" s="9" t="n">
        <v>82</v>
      </c>
      <c r="B87" s="10"/>
      <c r="C87" s="10"/>
      <c r="D87" s="10"/>
      <c r="E87" s="10"/>
      <c r="F87" s="10"/>
      <c r="G87" s="10"/>
      <c r="H87" s="10"/>
      <c r="I87" s="10"/>
      <c r="J87" s="10"/>
      <c r="K87" s="10"/>
      <c r="L87" s="10"/>
      <c r="M87" s="10"/>
      <c r="N87" s="10"/>
      <c r="O87" s="10"/>
    </row>
    <row r="88" customFormat="false" ht="15" hidden="false" customHeight="false" outlineLevel="0" collapsed="false">
      <c r="A88" s="9" t="n">
        <v>83</v>
      </c>
      <c r="B88" s="10"/>
      <c r="C88" s="10"/>
      <c r="D88" s="10"/>
      <c r="E88" s="10"/>
      <c r="F88" s="10"/>
      <c r="G88" s="10"/>
      <c r="H88" s="10"/>
      <c r="I88" s="10"/>
      <c r="J88" s="10"/>
      <c r="K88" s="10"/>
      <c r="L88" s="10"/>
      <c r="M88" s="10"/>
      <c r="N88" s="10"/>
      <c r="O88" s="10"/>
    </row>
    <row r="89" customFormat="false" ht="15" hidden="false" customHeight="false" outlineLevel="0" collapsed="false">
      <c r="A89" s="9" t="n">
        <v>84</v>
      </c>
      <c r="B89" s="10"/>
      <c r="C89" s="10"/>
      <c r="D89" s="10"/>
      <c r="E89" s="10"/>
      <c r="F89" s="10"/>
      <c r="G89" s="10"/>
      <c r="H89" s="10"/>
      <c r="I89" s="10"/>
      <c r="J89" s="10"/>
      <c r="K89" s="10"/>
      <c r="L89" s="10"/>
      <c r="M89" s="10"/>
      <c r="N89" s="10"/>
      <c r="O89" s="10"/>
    </row>
    <row r="90" customFormat="false" ht="15" hidden="false" customHeight="false" outlineLevel="0" collapsed="false">
      <c r="A90" s="9" t="n">
        <v>85</v>
      </c>
      <c r="B90" s="10"/>
      <c r="C90" s="10"/>
      <c r="D90" s="10"/>
      <c r="E90" s="10"/>
      <c r="F90" s="10"/>
      <c r="G90" s="10"/>
      <c r="H90" s="10"/>
      <c r="I90" s="10"/>
      <c r="J90" s="10"/>
      <c r="K90" s="10"/>
      <c r="L90" s="10"/>
      <c r="M90" s="10"/>
      <c r="N90" s="10"/>
      <c r="O90" s="10"/>
    </row>
    <row r="91" customFormat="false" ht="15" hidden="false" customHeight="false" outlineLevel="0" collapsed="false">
      <c r="A91" s="9" t="n">
        <v>86</v>
      </c>
      <c r="B91" s="10"/>
      <c r="C91" s="10"/>
      <c r="D91" s="10"/>
      <c r="E91" s="10"/>
      <c r="F91" s="10"/>
      <c r="G91" s="10"/>
      <c r="H91" s="10"/>
      <c r="I91" s="10"/>
      <c r="J91" s="10"/>
      <c r="K91" s="10"/>
      <c r="L91" s="10"/>
      <c r="M91" s="10"/>
      <c r="N91" s="10"/>
      <c r="O91" s="10"/>
    </row>
    <row r="92" customFormat="false" ht="15" hidden="false" customHeight="false" outlineLevel="0" collapsed="false">
      <c r="A92" s="9" t="n">
        <v>87</v>
      </c>
      <c r="B92" s="10"/>
      <c r="C92" s="10"/>
      <c r="D92" s="10"/>
      <c r="E92" s="10"/>
      <c r="F92" s="10"/>
      <c r="G92" s="10"/>
      <c r="H92" s="10"/>
      <c r="I92" s="10"/>
      <c r="J92" s="10"/>
      <c r="K92" s="10"/>
      <c r="L92" s="10"/>
      <c r="M92" s="10"/>
      <c r="N92" s="10"/>
      <c r="O92" s="10"/>
    </row>
    <row r="93" customFormat="false" ht="15" hidden="false" customHeight="false" outlineLevel="0" collapsed="false">
      <c r="A93" s="9" t="n">
        <v>88</v>
      </c>
      <c r="B93" s="10"/>
      <c r="C93" s="10"/>
      <c r="D93" s="10"/>
      <c r="E93" s="10"/>
      <c r="F93" s="10"/>
      <c r="G93" s="10"/>
      <c r="H93" s="10"/>
      <c r="I93" s="10"/>
      <c r="J93" s="10"/>
      <c r="K93" s="10"/>
      <c r="L93" s="10"/>
      <c r="M93" s="10"/>
      <c r="N93" s="10"/>
      <c r="O93" s="10"/>
    </row>
    <row r="94" customFormat="false" ht="15" hidden="false" customHeight="false" outlineLevel="0" collapsed="false">
      <c r="A94" s="9" t="n">
        <v>89</v>
      </c>
      <c r="B94" s="10"/>
      <c r="C94" s="10"/>
      <c r="D94" s="10"/>
      <c r="E94" s="10"/>
      <c r="F94" s="10"/>
      <c r="G94" s="10"/>
      <c r="H94" s="10"/>
      <c r="I94" s="10"/>
      <c r="J94" s="10"/>
      <c r="K94" s="10"/>
      <c r="L94" s="10"/>
      <c r="M94" s="10"/>
      <c r="N94" s="10"/>
      <c r="O94" s="10"/>
    </row>
    <row r="95" customFormat="false" ht="15" hidden="false" customHeight="false" outlineLevel="0" collapsed="false">
      <c r="A95" s="9" t="n">
        <v>90</v>
      </c>
      <c r="B95" s="10"/>
      <c r="C95" s="10"/>
      <c r="D95" s="10"/>
      <c r="E95" s="10"/>
      <c r="F95" s="10"/>
      <c r="G95" s="10"/>
      <c r="H95" s="10"/>
      <c r="I95" s="10"/>
      <c r="J95" s="10"/>
      <c r="K95" s="10"/>
      <c r="L95" s="10"/>
      <c r="M95" s="10"/>
      <c r="N95" s="10"/>
      <c r="O95" s="10"/>
    </row>
    <row r="96" customFormat="false" ht="15" hidden="false" customHeight="false" outlineLevel="0" collapsed="false">
      <c r="A96" s="9" t="n">
        <v>91</v>
      </c>
      <c r="B96" s="10"/>
      <c r="C96" s="10"/>
      <c r="D96" s="10"/>
      <c r="E96" s="10"/>
      <c r="F96" s="10"/>
      <c r="G96" s="10"/>
      <c r="H96" s="10"/>
      <c r="I96" s="10"/>
      <c r="J96" s="10"/>
      <c r="K96" s="10"/>
      <c r="L96" s="10"/>
      <c r="M96" s="10"/>
      <c r="N96" s="10"/>
      <c r="O96" s="10"/>
    </row>
    <row r="97" customFormat="false" ht="15" hidden="false" customHeight="false" outlineLevel="0" collapsed="false">
      <c r="A97" s="9" t="n">
        <v>92</v>
      </c>
      <c r="B97" s="10"/>
      <c r="C97" s="10"/>
      <c r="D97" s="10"/>
      <c r="E97" s="10"/>
      <c r="F97" s="10"/>
      <c r="G97" s="10"/>
      <c r="H97" s="10"/>
      <c r="I97" s="10"/>
      <c r="J97" s="10"/>
      <c r="K97" s="10"/>
      <c r="L97" s="10"/>
      <c r="M97" s="10"/>
      <c r="N97" s="10"/>
      <c r="O97" s="10"/>
    </row>
    <row r="98" customFormat="false" ht="15" hidden="false" customHeight="false" outlineLevel="0" collapsed="false">
      <c r="A98" s="9" t="n">
        <v>93</v>
      </c>
      <c r="B98" s="10"/>
      <c r="C98" s="10"/>
      <c r="D98" s="10"/>
      <c r="E98" s="10"/>
      <c r="F98" s="10"/>
      <c r="G98" s="10"/>
      <c r="H98" s="10"/>
      <c r="I98" s="10"/>
      <c r="J98" s="10"/>
      <c r="K98" s="10"/>
      <c r="L98" s="10"/>
      <c r="M98" s="10"/>
      <c r="N98" s="10"/>
      <c r="O98" s="10"/>
    </row>
    <row r="99" customFormat="false" ht="15" hidden="false" customHeight="false" outlineLevel="0" collapsed="false">
      <c r="A99" s="9" t="n">
        <v>94</v>
      </c>
      <c r="B99" s="10"/>
      <c r="C99" s="10"/>
      <c r="D99" s="10"/>
      <c r="E99" s="10"/>
      <c r="F99" s="10"/>
      <c r="G99" s="10"/>
      <c r="H99" s="10"/>
      <c r="I99" s="10"/>
      <c r="J99" s="10"/>
      <c r="K99" s="10"/>
      <c r="L99" s="10"/>
      <c r="M99" s="10"/>
      <c r="N99" s="10"/>
      <c r="O99" s="10"/>
    </row>
    <row r="100" customFormat="false" ht="15" hidden="false" customHeight="false" outlineLevel="0" collapsed="false">
      <c r="A100" s="9" t="n">
        <v>95</v>
      </c>
      <c r="B100" s="10"/>
      <c r="C100" s="10"/>
      <c r="D100" s="10"/>
      <c r="E100" s="10"/>
      <c r="F100" s="10"/>
      <c r="G100" s="10"/>
      <c r="H100" s="10"/>
      <c r="I100" s="10"/>
      <c r="J100" s="10"/>
      <c r="K100" s="10"/>
      <c r="L100" s="10"/>
      <c r="M100" s="10"/>
      <c r="N100" s="10"/>
      <c r="O100" s="10"/>
    </row>
    <row r="101" customFormat="false" ht="15" hidden="false" customHeight="false" outlineLevel="0" collapsed="false">
      <c r="A101" s="9" t="n">
        <v>96</v>
      </c>
      <c r="B101" s="10"/>
      <c r="C101" s="10"/>
      <c r="D101" s="10"/>
      <c r="E101" s="10"/>
      <c r="F101" s="10"/>
      <c r="G101" s="10"/>
      <c r="H101" s="10"/>
      <c r="I101" s="10"/>
      <c r="J101" s="10"/>
      <c r="K101" s="10"/>
      <c r="L101" s="10"/>
      <c r="M101" s="10"/>
      <c r="N101" s="10"/>
      <c r="O101" s="10"/>
    </row>
    <row r="102" customFormat="false" ht="15" hidden="false" customHeight="false" outlineLevel="0" collapsed="false">
      <c r="A102" s="9" t="n">
        <v>97</v>
      </c>
      <c r="B102" s="10"/>
      <c r="C102" s="10"/>
      <c r="D102" s="10"/>
      <c r="E102" s="10"/>
      <c r="F102" s="10"/>
      <c r="G102" s="10"/>
      <c r="H102" s="10"/>
      <c r="I102" s="10"/>
      <c r="J102" s="10"/>
      <c r="K102" s="10"/>
      <c r="L102" s="10"/>
      <c r="M102" s="10"/>
      <c r="N102" s="10"/>
      <c r="O102" s="10"/>
    </row>
    <row r="103" customFormat="false" ht="15" hidden="false" customHeight="false" outlineLevel="0" collapsed="false">
      <c r="A103" s="9" t="n">
        <v>98</v>
      </c>
      <c r="B103" s="10"/>
      <c r="C103" s="10"/>
      <c r="D103" s="10"/>
      <c r="E103" s="10"/>
      <c r="F103" s="10"/>
      <c r="G103" s="10"/>
      <c r="H103" s="10"/>
      <c r="I103" s="10"/>
      <c r="J103" s="10"/>
      <c r="K103" s="10"/>
      <c r="L103" s="10"/>
      <c r="M103" s="10"/>
      <c r="N103" s="10"/>
      <c r="O103" s="10"/>
    </row>
    <row r="104" customFormat="false" ht="15" hidden="false" customHeight="false" outlineLevel="0" collapsed="false">
      <c r="A104" s="9" t="n">
        <v>99</v>
      </c>
      <c r="B104" s="10"/>
      <c r="C104" s="10"/>
      <c r="D104" s="10"/>
      <c r="E104" s="10"/>
      <c r="F104" s="10"/>
      <c r="G104" s="10"/>
      <c r="H104" s="10"/>
      <c r="I104" s="10"/>
      <c r="J104" s="10"/>
      <c r="K104" s="10"/>
      <c r="L104" s="10"/>
      <c r="M104" s="10"/>
      <c r="N104" s="10"/>
      <c r="O104" s="10"/>
    </row>
    <row r="105" customFormat="false" ht="15" hidden="false" customHeight="false" outlineLevel="0" collapsed="false">
      <c r="A105" s="9" t="n">
        <v>100</v>
      </c>
      <c r="B105" s="10"/>
      <c r="C105" s="10"/>
      <c r="D105" s="10"/>
      <c r="E105" s="10"/>
      <c r="F105" s="10"/>
      <c r="G105" s="10"/>
      <c r="H105" s="10"/>
      <c r="I105" s="10"/>
      <c r="J105" s="10"/>
      <c r="K105" s="10"/>
      <c r="L105" s="10"/>
      <c r="M105" s="10"/>
      <c r="N105" s="10"/>
      <c r="O105" s="10"/>
    </row>
  </sheetData>
  <autoFilter ref="A4:O105"/>
  <dataValidations count="9">
    <dataValidation allowBlank="true" error="Please pick from the list" errorStyle="stop" errorTitle="Category" operator="between" showDropDown="false" showErrorMessage="true" showInputMessage="false" sqref="C6:C105" type="list">
      <formula1>"Email,Banking &amp; money,Shopping,Social media,Messaging,Cloud &amp; files,Photos,Work / school,Health,Government / utilities,Travel,Entertainment,Gaming,Devices &amp; apps,Other"</formula1>
      <formula2>0</formula2>
    </dataValidation>
    <dataValidation allowBlank="true" error="Please pick from the list" errorStyle="stop" errorTitle="Phone" operator="between" showDropDown="false" showErrorMessage="true" showInputMessage="false" sqref="F6:F105" type="list">
      <formula1>"Yes,No,Unsure"</formula1>
      <formula2>0</formula2>
    </dataValidation>
    <dataValidation allowBlank="true" error="Please pick from the list" errorStyle="stop" errorTitle="Password" operator="between" showDropDown="false" showErrorMessage="true" showInputMessage="false" sqref="G6:G105" type="list">
      <formula1>"Password manager,Memorised,Paper,Browser-saved,Don't know"</formula1>
      <formula2>0</formula2>
    </dataValidation>
    <dataValidation allowBlank="true" error="Please pick from the list" errorStyle="stop" errorTitle="2FA" operator="between" showDropDown="false" showErrorMessage="true" showInputMessage="false" sqref="H6:H105" type="list">
      <formula1>"Authenticator app,Text message,Hardware key,Email code,Passkey,None,Unsure"</formula1>
      <formula2>0</formula2>
    </dataValidation>
    <dataValidation allowBlank="true" error="Please pick from the list" errorStyle="stop" errorTitle="Recovery" operator="between" showDropDown="false" showErrorMessage="true" showInputMessage="false" sqref="I6:I105" type="list">
      <formula1>"Yes,No,Unsure"</formula1>
      <formula2>0</formula2>
    </dataValidation>
    <dataValidation allowBlank="true" error="Please pick from the list" errorStyle="stop" errorTitle="Use" operator="between" showDropDown="false" showErrorMessage="true" showInputMessage="false" sqref="J6:J105" type="list">
      <formula1>"Daily,Weekly,Monthly,Rarely,Never,Unknown"</formula1>
      <formula2>0</formula2>
    </dataValidation>
    <dataValidation allowBlank="true" error="Please pick from the list" errorStyle="stop" errorTitle="Status" operator="between" showDropDown="false" showErrorMessage="true" showInputMessage="false" sqref="K6:K105" type="list">
      <formula1>"Active,Dormant,Locked / can't access,Unknown"</formula1>
      <formula2>0</formula2>
    </dataValidation>
    <dataValidation allowBlank="true" error="Please pick from the list" errorStyle="stop" errorTitle="Action" operator="between" showDropDown="false" showErrorMessage="true" showInputMessage="false" sqref="L6:L105" type="list">
      <formula1>"Keep,Review,Close,Recover,Back up,Find"</formula1>
      <formula2>0</formula2>
    </dataValidation>
    <dataValidation allowBlank="true" error="Please pick from the list" errorStyle="stop" errorTitle="Data" operator="between" showDropDown="false" showErrorMessage="true" showInputMessage="false" sqref="M6:M105" type="list">
      <formula1>"Yes,No,Unsure"</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2"/>
    <col collapsed="false" customWidth="true" hidden="false" outlineLevel="0" max="3" min="3" style="0" width="60"/>
  </cols>
  <sheetData>
    <row r="1" customFormat="false" ht="19.7" hidden="false" customHeight="false" outlineLevel="0" collapsed="false">
      <c r="A1" s="11" t="s">
        <v>48</v>
      </c>
    </row>
    <row r="2" customFormat="false" ht="15" hidden="false" customHeight="false" outlineLevel="0" collapsed="false">
      <c r="A2" s="6" t="s">
        <v>49</v>
      </c>
    </row>
    <row r="4" customFormat="false" ht="15" hidden="false" customHeight="false" outlineLevel="0" collapsed="false">
      <c r="A4" s="12" t="s">
        <v>50</v>
      </c>
      <c r="B4" s="13"/>
      <c r="C4" s="13"/>
    </row>
    <row r="5" customFormat="false" ht="15" hidden="false" customHeight="false" outlineLevel="0" collapsed="false">
      <c r="A5" s="14" t="s">
        <v>51</v>
      </c>
      <c r="B5" s="15" t="n">
        <f aca="false">COUNTA(Accounts!$B$6:$B$105)</f>
        <v>0</v>
      </c>
      <c r="C5" s="16"/>
    </row>
    <row r="6" customFormat="false" ht="15" hidden="false" customHeight="false" outlineLevel="0" collapsed="false">
      <c r="A6" s="14" t="s">
        <v>52</v>
      </c>
      <c r="B6" s="15" t="n">
        <f aca="false">COUNTIF(Accounts!$H$6:$H$105,"None")</f>
        <v>0</v>
      </c>
      <c r="C6" s="16" t="s">
        <v>53</v>
      </c>
    </row>
    <row r="7" customFormat="false" ht="15" hidden="false" customHeight="false" outlineLevel="0" collapsed="false">
      <c r="A7" s="14" t="s">
        <v>54</v>
      </c>
      <c r="B7" s="15" t="n">
        <f aca="false">COUNTIF(Accounts!$H$6:$H$105,"Unsure")</f>
        <v>0</v>
      </c>
      <c r="C7" s="16"/>
    </row>
    <row r="8" customFormat="false" ht="15" hidden="false" customHeight="false" outlineLevel="0" collapsed="false">
      <c r="A8" s="14" t="s">
        <v>55</v>
      </c>
      <c r="B8" s="15" t="n">
        <f aca="false">COUNTIFS(Accounts!$B$6:$B$105,"&lt;&gt;",Accounts!$G$6:$G$105,"&lt;&gt;Password manager")</f>
        <v>0</v>
      </c>
      <c r="C8" s="16" t="s">
        <v>56</v>
      </c>
    </row>
    <row r="9" customFormat="false" ht="15" hidden="false" customHeight="false" outlineLevel="0" collapsed="false">
      <c r="A9" s="14" t="s">
        <v>57</v>
      </c>
      <c r="B9" s="15" t="n">
        <f aca="false">COUNTIF(Accounts!$I$6:$I$105,"No")</f>
        <v>0</v>
      </c>
      <c r="C9" s="16" t="s">
        <v>58</v>
      </c>
    </row>
    <row r="10" customFormat="false" ht="15" hidden="false" customHeight="false" outlineLevel="0" collapsed="false">
      <c r="A10" s="17"/>
      <c r="B10" s="17"/>
    </row>
    <row r="11" customFormat="false" ht="15" hidden="false" customHeight="false" outlineLevel="0" collapsed="false">
      <c r="A11" s="18" t="s">
        <v>59</v>
      </c>
      <c r="B11" s="19"/>
      <c r="C11" s="13"/>
    </row>
    <row r="12" customFormat="false" ht="15" hidden="false" customHeight="false" outlineLevel="0" collapsed="false">
      <c r="A12" s="14" t="s">
        <v>44</v>
      </c>
      <c r="B12" s="15" t="n">
        <f aca="false">COUNTIF(Accounts!$K$6:$K$105,"Active")</f>
        <v>0</v>
      </c>
      <c r="C12" s="16"/>
    </row>
    <row r="13" customFormat="false" ht="15" hidden="false" customHeight="false" outlineLevel="0" collapsed="false">
      <c r="A13" s="14" t="s">
        <v>60</v>
      </c>
      <c r="B13" s="15" t="n">
        <f aca="false">COUNTIF(Accounts!$K$6:$K$105,"Dormant")</f>
        <v>0</v>
      </c>
      <c r="C13" s="16"/>
    </row>
    <row r="14" customFormat="false" ht="15" hidden="false" customHeight="false" outlineLevel="0" collapsed="false">
      <c r="A14" s="14" t="s">
        <v>61</v>
      </c>
      <c r="B14" s="15" t="n">
        <f aca="false">COUNTIF(Accounts!$K$6:$K$105,"Locked / can't access")</f>
        <v>0</v>
      </c>
      <c r="C14" s="16"/>
    </row>
    <row r="15" customFormat="false" ht="15" hidden="false" customHeight="false" outlineLevel="0" collapsed="false">
      <c r="A15" s="14" t="s">
        <v>62</v>
      </c>
      <c r="B15" s="15" t="n">
        <f aca="false">COUNTIF(Accounts!$K$6:$K$105,"Unknown")</f>
        <v>0</v>
      </c>
      <c r="C15" s="16"/>
    </row>
    <row r="16" customFormat="false" ht="15" hidden="false" customHeight="false" outlineLevel="0" collapsed="false">
      <c r="A16" s="17"/>
      <c r="B16" s="17"/>
    </row>
    <row r="17" customFormat="false" ht="15" hidden="false" customHeight="false" outlineLevel="0" collapsed="false">
      <c r="A17" s="18" t="s">
        <v>63</v>
      </c>
      <c r="B17" s="19"/>
      <c r="C17" s="13"/>
    </row>
    <row r="18" customFormat="false" ht="15" hidden="false" customHeight="false" outlineLevel="0" collapsed="false">
      <c r="A18" s="14" t="s">
        <v>45</v>
      </c>
      <c r="B18" s="15" t="n">
        <f aca="false">COUNTIF(Accounts!$L$6:$L$105,"Keep")</f>
        <v>0</v>
      </c>
      <c r="C18" s="16"/>
    </row>
    <row r="19" customFormat="false" ht="15" hidden="false" customHeight="false" outlineLevel="0" collapsed="false">
      <c r="A19" s="14" t="s">
        <v>64</v>
      </c>
      <c r="B19" s="15" t="n">
        <f aca="false">COUNTIF(Accounts!$L$6:$L$105,"Review")</f>
        <v>0</v>
      </c>
      <c r="C19" s="16"/>
    </row>
    <row r="20" customFormat="false" ht="15" hidden="false" customHeight="false" outlineLevel="0" collapsed="false">
      <c r="A20" s="14" t="s">
        <v>65</v>
      </c>
      <c r="B20" s="15" t="n">
        <f aca="false">COUNTIF(Accounts!$L$6:$L$105,"Close")</f>
        <v>0</v>
      </c>
      <c r="C20" s="16"/>
    </row>
    <row r="21" customFormat="false" ht="15" hidden="false" customHeight="false" outlineLevel="0" collapsed="false">
      <c r="A21" s="14" t="s">
        <v>66</v>
      </c>
      <c r="B21" s="15" t="n">
        <f aca="false">COUNTIF(Accounts!$L$6:$L$105,"Recover")</f>
        <v>0</v>
      </c>
      <c r="C21" s="16"/>
    </row>
    <row r="22" customFormat="false" ht="15" hidden="false" customHeight="false" outlineLevel="0" collapsed="false">
      <c r="A22" s="14" t="s">
        <v>67</v>
      </c>
      <c r="B22" s="15" t="n">
        <f aca="false">COUNTIF(Accounts!$L$6:$L$105,"Back up")</f>
        <v>0</v>
      </c>
      <c r="C22" s="16"/>
    </row>
    <row r="23" customFormat="false" ht="15" hidden="false" customHeight="false" outlineLevel="0" collapsed="false">
      <c r="A23" s="14" t="s">
        <v>68</v>
      </c>
      <c r="B23" s="15" t="n">
        <f aca="false">COUNTIF(Accounts!$L$6:$L$105,"Find")</f>
        <v>0</v>
      </c>
      <c r="C23" s="16"/>
    </row>
    <row r="24" customFormat="false" ht="15" hidden="false" customHeight="false" outlineLevel="0" collapsed="false">
      <c r="A24" s="17"/>
      <c r="B24" s="17"/>
    </row>
    <row r="25" customFormat="false" ht="15" hidden="false" customHeight="false" outlineLevel="0" collapsed="false">
      <c r="A25" s="18" t="s">
        <v>69</v>
      </c>
      <c r="B25" s="19"/>
      <c r="C25" s="13"/>
    </row>
    <row r="26" customFormat="false" ht="15" hidden="false" customHeight="false" outlineLevel="0" collapsed="false">
      <c r="A26" s="14" t="s">
        <v>70</v>
      </c>
      <c r="B26" s="15" t="n">
        <f aca="false">COUNTIFS(Accounts!$L$6:$L$105,"Close",Accounts!$M$6:$M$105,"Yes")</f>
        <v>0</v>
      </c>
      <c r="C26" s="16" t="s">
        <v>71</v>
      </c>
    </row>
    <row r="27" customFormat="false" ht="15" hidden="false" customHeight="false" outlineLevel="0" collapsed="false">
      <c r="A27" s="14" t="s">
        <v>72</v>
      </c>
      <c r="B27" s="15" t="n">
        <f aca="false">COUNTIFS(Accounts!$K$6:$K$105,"Locked / can't access",Accounts!$L$6:$L$105,"&lt;&gt;Recover")</f>
        <v>0</v>
      </c>
      <c r="C27" s="16" t="s">
        <v>73</v>
      </c>
    </row>
    <row r="28" customFormat="false" ht="15" hidden="false" customHeight="false" outlineLevel="0" collapsed="false">
      <c r="A28" s="14" t="s">
        <v>74</v>
      </c>
      <c r="B28" s="15" t="n">
        <f aca="false">COUNTIF(Accounts!$K$6:$K$105,"Unknown")</f>
        <v>0</v>
      </c>
      <c r="C28" s="16" t="s">
        <v>75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00"/>
  </cols>
  <sheetData>
    <row r="1" customFormat="false" ht="19.7" hidden="false" customHeight="false" outlineLevel="0" collapsed="false">
      <c r="A1" s="11" t="s">
        <v>76</v>
      </c>
    </row>
    <row r="2" customFormat="false" ht="15" hidden="false" customHeight="false" outlineLevel="0" collapsed="false">
      <c r="A2" s="6" t="s">
        <v>77</v>
      </c>
    </row>
    <row r="4" customFormat="false" ht="31.5" hidden="false" customHeight="true" outlineLevel="0" collapsed="false">
      <c r="A4" s="20" t="s">
        <v>78</v>
      </c>
      <c r="B4" s="21" t="s">
        <v>79</v>
      </c>
    </row>
    <row r="5" customFormat="false" ht="31.5" hidden="false" customHeight="true" outlineLevel="0" collapsed="false">
      <c r="A5" s="20" t="s">
        <v>80</v>
      </c>
      <c r="B5" s="21" t="s">
        <v>81</v>
      </c>
    </row>
    <row r="6" customFormat="false" ht="31.5" hidden="false" customHeight="true" outlineLevel="0" collapsed="false">
      <c r="A6" s="20" t="s">
        <v>82</v>
      </c>
      <c r="B6" s="21" t="s">
        <v>83</v>
      </c>
    </row>
    <row r="7" customFormat="false" ht="31.5" hidden="false" customHeight="true" outlineLevel="0" collapsed="false">
      <c r="A7" s="20" t="s">
        <v>84</v>
      </c>
      <c r="B7" s="21" t="s">
        <v>85</v>
      </c>
    </row>
    <row r="8" customFormat="false" ht="31.5" hidden="false" customHeight="true" outlineLevel="0" collapsed="false">
      <c r="A8" s="20" t="s">
        <v>86</v>
      </c>
      <c r="B8" s="21" t="s">
        <v>87</v>
      </c>
    </row>
    <row r="9" customFormat="false" ht="31.5" hidden="false" customHeight="true" outlineLevel="0" collapsed="false">
      <c r="A9" s="20" t="s">
        <v>88</v>
      </c>
      <c r="B9" s="21" t="s">
        <v>89</v>
      </c>
    </row>
    <row r="10" customFormat="false" ht="31.5" hidden="false" customHeight="true" outlineLevel="0" collapsed="false">
      <c r="A10" s="20" t="s">
        <v>90</v>
      </c>
      <c r="B10" s="21" t="s">
        <v>91</v>
      </c>
    </row>
    <row r="11" customFormat="false" ht="31.5" hidden="false" customHeight="true" outlineLevel="0" collapsed="false">
      <c r="A11" s="20" t="s">
        <v>92</v>
      </c>
      <c r="B11" s="21" t="s">
        <v>93</v>
      </c>
    </row>
    <row r="12" customFormat="false" ht="31.5" hidden="false" customHeight="true" outlineLevel="0" collapsed="false">
      <c r="A12" s="20" t="s">
        <v>94</v>
      </c>
      <c r="B12" s="21" t="s">
        <v>95</v>
      </c>
    </row>
    <row r="13" customFormat="false" ht="31.5" hidden="false" customHeight="true" outlineLevel="0" collapsed="false">
      <c r="A13" s="20" t="s">
        <v>96</v>
      </c>
      <c r="B13" s="21" t="s">
        <v>97</v>
      </c>
    </row>
    <row r="14" customFormat="false" ht="31.5" hidden="false" customHeight="true" outlineLevel="0" collapsed="false">
      <c r="A14" s="20" t="s">
        <v>98</v>
      </c>
      <c r="B14" s="21" t="s">
        <v>99</v>
      </c>
    </row>
    <row r="15" customFormat="false" ht="31.5" hidden="false" customHeight="true" outlineLevel="0" collapsed="false">
      <c r="A15" s="20" t="s">
        <v>36</v>
      </c>
      <c r="B15" s="21" t="s">
        <v>100</v>
      </c>
    </row>
    <row r="16" customFormat="false" ht="31.5" hidden="false" customHeight="true" outlineLevel="0" collapsed="false">
      <c r="A16" s="20" t="s">
        <v>101</v>
      </c>
      <c r="B16" s="21" t="s">
        <v>102</v>
      </c>
    </row>
    <row r="17" customFormat="false" ht="31.5" hidden="false" customHeight="true" outlineLevel="0" collapsed="false">
      <c r="A17" s="20" t="s">
        <v>103</v>
      </c>
      <c r="B17" s="21" t="s">
        <v>104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2026-10-15T00:44:58Z</dcterms:created>
  <dc:creator>openpyxl</dc:creator>
  <dc:description/>
  <dc:language>en-US</dc:language>
  <cp:lastModifiedBy/>
  <dcterms:modified xsi:type="dcterms:W3CDTF">2026-10-15T00:44:58Z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